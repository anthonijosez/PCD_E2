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rigi\Desktop\SEM3\"/>
    </mc:Choice>
  </mc:AlternateContent>
  <xr:revisionPtr revIDLastSave="0" documentId="8_{EB788AE8-A623-4057-8CF9-981C64BCEAE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Resumen" sheetId="1" r:id="rId1"/>
    <sheet name="CT100A_1V" sheetId="2" r:id="rId2"/>
    <sheet name="CT20A_1V" sheetId="3" r:id="rId3"/>
    <sheet name="CT30A_1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G10" i="4" s="1"/>
  <c r="H10" i="4" s="1"/>
  <c r="K9" i="4"/>
  <c r="D9" i="4"/>
  <c r="G9" i="4" s="1"/>
  <c r="H9" i="4" s="1"/>
  <c r="K8" i="4"/>
  <c r="F9" i="1" s="1"/>
  <c r="D8" i="4"/>
  <c r="G8" i="4" s="1"/>
  <c r="H8" i="4" s="1"/>
  <c r="K7" i="4"/>
  <c r="D7" i="4"/>
  <c r="G7" i="4" s="1"/>
  <c r="H7" i="4" s="1"/>
  <c r="K6" i="4"/>
  <c r="D9" i="1" s="1"/>
  <c r="D6" i="4"/>
  <c r="G6" i="4" s="1"/>
  <c r="H6" i="4" s="1"/>
  <c r="D5" i="4"/>
  <c r="G5" i="4" s="1"/>
  <c r="H5" i="4" s="1"/>
  <c r="D4" i="4"/>
  <c r="G4" i="4" s="1"/>
  <c r="H4" i="4" s="1"/>
  <c r="D10" i="3"/>
  <c r="G10" i="3" s="1"/>
  <c r="H10" i="3" s="1"/>
  <c r="K9" i="3"/>
  <c r="D9" i="3"/>
  <c r="G9" i="3" s="1"/>
  <c r="H9" i="3" s="1"/>
  <c r="K8" i="3"/>
  <c r="F8" i="1" s="1"/>
  <c r="D8" i="3"/>
  <c r="G8" i="3" s="1"/>
  <c r="H8" i="3" s="1"/>
  <c r="K7" i="3"/>
  <c r="G7" i="3"/>
  <c r="H7" i="3" s="1"/>
  <c r="D7" i="3"/>
  <c r="K6" i="3"/>
  <c r="D8" i="1" s="1"/>
  <c r="D6" i="3"/>
  <c r="G6" i="3" s="1"/>
  <c r="H6" i="3" s="1"/>
  <c r="D5" i="3"/>
  <c r="G5" i="3" s="1"/>
  <c r="H5" i="3" s="1"/>
  <c r="D4" i="3"/>
  <c r="G4" i="3" s="1"/>
  <c r="H4" i="3" s="1"/>
  <c r="D10" i="2"/>
  <c r="G10" i="2" s="1"/>
  <c r="H10" i="2" s="1"/>
  <c r="K9" i="2"/>
  <c r="D9" i="2"/>
  <c r="G9" i="2" s="1"/>
  <c r="H9" i="2" s="1"/>
  <c r="K8" i="2"/>
  <c r="F7" i="1" s="1"/>
  <c r="G8" i="2"/>
  <c r="H8" i="2" s="1"/>
  <c r="D8" i="2"/>
  <c r="K7" i="2"/>
  <c r="D7" i="2"/>
  <c r="G7" i="2" s="1"/>
  <c r="H7" i="2" s="1"/>
  <c r="K6" i="2"/>
  <c r="D7" i="1" s="1"/>
  <c r="D6" i="2"/>
  <c r="G6" i="2" s="1"/>
  <c r="H6" i="2" s="1"/>
  <c r="D5" i="2"/>
  <c r="G5" i="2" s="1"/>
  <c r="H5" i="2" s="1"/>
  <c r="D4" i="2"/>
  <c r="G4" i="2" s="1"/>
  <c r="H4" i="2" s="1"/>
  <c r="C9" i="1"/>
  <c r="B9" i="1"/>
  <c r="C8" i="1"/>
  <c r="B8" i="1"/>
  <c r="C7" i="1"/>
  <c r="B7" i="1"/>
  <c r="K13" i="4" l="1"/>
  <c r="G9" i="1"/>
  <c r="C8" i="4"/>
  <c r="E8" i="4" s="1"/>
  <c r="F8" i="4" s="1"/>
  <c r="C6" i="4"/>
  <c r="E6" i="4" s="1"/>
  <c r="F6" i="4" s="1"/>
  <c r="C7" i="4"/>
  <c r="E7" i="4" s="1"/>
  <c r="F7" i="4" s="1"/>
  <c r="C9" i="4"/>
  <c r="E9" i="4" s="1"/>
  <c r="F9" i="4" s="1"/>
  <c r="C4" i="4"/>
  <c r="E4" i="4" s="1"/>
  <c r="F4" i="4" s="1"/>
  <c r="C5" i="4"/>
  <c r="E5" i="4" s="1"/>
  <c r="F5" i="4" s="1"/>
  <c r="E9" i="1"/>
  <c r="C10" i="4"/>
  <c r="E10" i="4" s="1"/>
  <c r="F10" i="4" s="1"/>
  <c r="K13" i="3"/>
  <c r="G8" i="1"/>
  <c r="C5" i="3"/>
  <c r="E5" i="3" s="1"/>
  <c r="F5" i="3" s="1"/>
  <c r="C8" i="3"/>
  <c r="E8" i="3" s="1"/>
  <c r="F8" i="3" s="1"/>
  <c r="C10" i="3"/>
  <c r="E10" i="3" s="1"/>
  <c r="F10" i="3" s="1"/>
  <c r="C9" i="3"/>
  <c r="E9" i="3" s="1"/>
  <c r="F9" i="3" s="1"/>
  <c r="C7" i="3"/>
  <c r="E7" i="3" s="1"/>
  <c r="F7" i="3" s="1"/>
  <c r="C4" i="3"/>
  <c r="E4" i="3" s="1"/>
  <c r="F4" i="3" s="1"/>
  <c r="E8" i="1"/>
  <c r="C6" i="3"/>
  <c r="E6" i="3" s="1"/>
  <c r="F6" i="3" s="1"/>
  <c r="K13" i="2"/>
  <c r="G7" i="1"/>
  <c r="C6" i="2"/>
  <c r="E6" i="2" s="1"/>
  <c r="F6" i="2" s="1"/>
  <c r="C5" i="2"/>
  <c r="E5" i="2" s="1"/>
  <c r="F5" i="2" s="1"/>
  <c r="C4" i="2"/>
  <c r="E4" i="2" s="1"/>
  <c r="F4" i="2" s="1"/>
  <c r="C9" i="2"/>
  <c r="E9" i="2" s="1"/>
  <c r="F9" i="2" s="1"/>
  <c r="C10" i="2"/>
  <c r="E10" i="2" s="1"/>
  <c r="F10" i="2" s="1"/>
  <c r="C8" i="2"/>
  <c r="E8" i="2" s="1"/>
  <c r="F8" i="2" s="1"/>
  <c r="C7" i="2"/>
  <c r="E7" i="2" s="1"/>
  <c r="F7" i="2" s="1"/>
  <c r="E7" i="1"/>
  <c r="K12" i="4"/>
  <c r="J9" i="1" s="1"/>
  <c r="K12" i="3"/>
  <c r="J8" i="1" s="1"/>
  <c r="K12" i="2"/>
  <c r="J7" i="1" s="1"/>
  <c r="K10" i="3" l="1"/>
  <c r="K10" i="2"/>
  <c r="K10" i="4"/>
  <c r="H8" i="1" l="1"/>
  <c r="K11" i="3"/>
  <c r="I8" i="1" s="1"/>
  <c r="H7" i="1"/>
  <c r="K11" i="2"/>
  <c r="I7" i="1" s="1"/>
  <c r="K11" i="4"/>
  <c r="I9" i="1" s="1"/>
  <c r="H9" i="1"/>
</calcChain>
</file>

<file path=xl/sharedStrings.xml><?xml version="1.0" encoding="utf-8"?>
<sst xmlns="http://schemas.openxmlformats.org/spreadsheetml/2006/main" count="81" uniqueCount="36">
  <si>
    <t>ANÁLISIS DE LINEALIDAD — SENSORES SCT013</t>
  </si>
  <si>
    <t>Sensor</t>
  </si>
  <si>
    <t>Corriente nominal (A)</t>
  </si>
  <si>
    <t>Salida nominal (V)</t>
  </si>
  <si>
    <t>Sensibilidad nominal (V/A)</t>
  </si>
  <si>
    <t>Pendiente medida (V/A)</t>
  </si>
  <si>
    <t>Intercepto (V)</t>
  </si>
  <si>
    <t>R²</t>
  </si>
  <si>
    <t>Desv. máx. ajuste (V)</t>
  </si>
  <si>
    <t>No linealidad máx. (% FS)</t>
  </si>
  <si>
    <t>Máx. error vs ideal (%)</t>
  </si>
  <si>
    <t>SCT013 (100A/1V)</t>
  </si>
  <si>
    <t>SCT013 (20A/1V)</t>
  </si>
  <si>
    <t>SCT013 (30A/1V)</t>
  </si>
  <si>
    <t>LECTURA RÁPIDA</t>
  </si>
  <si>
    <t>SCT013 (100A/1V) — DATOS Y LINEALIDAD</t>
  </si>
  <si>
    <t>Corriente (A)</t>
  </si>
  <si>
    <t>Voltaje medido (V)</t>
  </si>
  <si>
    <t>Ajuste lineal (V)</t>
  </si>
  <si>
    <t>Voltaje ideal (V)</t>
  </si>
  <si>
    <t>Residual (V)</t>
  </si>
  <si>
    <t>|Residual| (V)</t>
  </si>
  <si>
    <t>Error vs ideal (%)</t>
  </si>
  <si>
    <t>|Error| (%)</t>
  </si>
  <si>
    <t>Parámetro</t>
  </si>
  <si>
    <t>Valor</t>
  </si>
  <si>
    <t>Salida nominal FS (V)</t>
  </si>
  <si>
    <t>Pendiente ajuste (V/A)</t>
  </si>
  <si>
    <t>R² del ajuste</t>
  </si>
  <si>
    <t>Desviación máxima ajuste (V)</t>
  </si>
  <si>
    <t>No linealidad máxima (% FS)</t>
  </si>
  <si>
    <t>Interpretación: R² cercano a 1 indica una relación prácticamente lineal. La no linealidad máxima (% FS) es la mayor separación respecto a la recta de mejor ajuste, expresada como porcentaje de la salida nominal de 1 V.</t>
  </si>
  <si>
    <t>Máximo error vs ideal (%)</t>
  </si>
  <si>
    <t>R² expresado en (%)</t>
  </si>
  <si>
    <t>SCT013 (20A/1V) — DATOS Y LINEALIDAD</t>
  </si>
  <si>
    <t>SCT013 (30A/1V) — DATOS Y LINEALIDAD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</si>
</sst>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"/>
    <numFmt numFmtId="167" formatCode="0.000000000"/>
  </numFmts>
  <fonts count="7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i/>
      <sz val="9"/>
      <color rgb="FF4B5563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8FB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0" fillId="0" borderId="4" xfId="0" applyNumberFormat="1" applyBorder="1"/>
    <xf numFmtId="165" fontId="0" fillId="0" borderId="5" xfId="0" applyNumberFormat="1" applyBorder="1"/>
    <xf numFmtId="2" fontId="0" fillId="0" borderId="6" xfId="0" applyNumberFormat="1" applyBorder="1"/>
    <xf numFmtId="164" fontId="0" fillId="0" borderId="7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3" borderId="4" xfId="0" applyFill="1" applyBorder="1"/>
    <xf numFmtId="0" fontId="0" fillId="3" borderId="6" xfId="0" applyFill="1" applyBorder="1"/>
    <xf numFmtId="0" fontId="5" fillId="0" borderId="1" xfId="0" applyFont="1" applyBorder="1"/>
    <xf numFmtId="0" fontId="5" fillId="0" borderId="4" xfId="0" applyFont="1" applyBorder="1"/>
    <xf numFmtId="0" fontId="5" fillId="0" borderId="6" xfId="0" applyFont="1" applyBorder="1"/>
    <xf numFmtId="166" fontId="0" fillId="0" borderId="2" xfId="0" applyNumberFormat="1" applyBorder="1"/>
    <xf numFmtId="166" fontId="0" fillId="0" borderId="7" xfId="0" applyNumberFormat="1" applyBorder="1"/>
    <xf numFmtId="167" fontId="0" fillId="0" borderId="2" xfId="0" applyNumberFormat="1" applyBorder="1"/>
    <xf numFmtId="167" fontId="0" fillId="0" borderId="7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/>
    </xf>
    <xf numFmtId="0" fontId="6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SCT013 (100A/1V) — Curva de transferencia y ajuste lineal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Voltaje medido</c:v>
          </c:tx>
          <c:xVal>
            <c:numLit>
              <c:ptCount val="0"/>
            </c:numLit>
          </c:xVal>
          <c:yVal>
            <c:numLit>
              <c:formatCode>0.0</c:formatCode>
              <c:ptCount val="7"/>
              <c:pt idx="0">
                <c:v>0.2011</c:v>
              </c:pt>
              <c:pt idx="1">
                <c:v>0.40279999999999999</c:v>
              </c:pt>
              <c:pt idx="2">
                <c:v>0.50339999999999996</c:v>
              </c:pt>
              <c:pt idx="3">
                <c:v>0.60409999999999997</c:v>
              </c:pt>
              <c:pt idx="4">
                <c:v>0.80410000000000004</c:v>
              </c:pt>
              <c:pt idx="5">
                <c:v>1.0007999999999999</c:v>
              </c:pt>
              <c:pt idx="6">
                <c:v>1.1929000000000001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312-4CA6-A826-B472CB0DE708}"/>
            </c:ext>
          </c:extLst>
        </c:ser>
        <c:ser>
          <c:idx val="1"/>
          <c:order val="1"/>
          <c:tx>
            <c:v>Ajuste lineal</c:v>
          </c:tx>
          <c:xVal>
            <c:numLit>
              <c:ptCount val="0"/>
            </c:numLit>
          </c:xVal>
          <c:yVal>
            <c:numLit>
              <c:formatCode>0.0</c:formatCode>
              <c:ptCount val="7"/>
              <c:pt idx="0">
                <c:v>0.20459961089494152</c:v>
              </c:pt>
              <c:pt idx="1">
                <c:v>0.40320583657587539</c:v>
              </c:pt>
              <c:pt idx="2">
                <c:v>0.50250894941634239</c:v>
              </c:pt>
              <c:pt idx="3">
                <c:v>0.60181206225680928</c:v>
              </c:pt>
              <c:pt idx="4">
                <c:v>0.80041828793774317</c:v>
              </c:pt>
              <c:pt idx="5">
                <c:v>0.99902451361867706</c:v>
              </c:pt>
              <c:pt idx="6">
                <c:v>1.1976307392996111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E312-4CA6-A826-B472CB0DE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Voltaje de salida (V)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Corriente de entrada (A)</a:t>
                </a:r>
              </a:p>
            </c:rich>
          </c:tx>
          <c:overlay val="1"/>
        </c:title>
        <c:numFmt formatCode="0.##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SCT013 (20A/1V) — Curva de transferencia y ajuste lineal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Voltaje medido</c:v>
          </c:tx>
          <c:xVal>
            <c:numLit>
              <c:ptCount val="0"/>
            </c:numLit>
          </c:xVal>
          <c:yVal>
            <c:numLit>
              <c:formatCode>0.0</c:formatCode>
              <c:ptCount val="7"/>
              <c:pt idx="0">
                <c:v>0.19939999999999999</c:v>
              </c:pt>
              <c:pt idx="1">
                <c:v>0.39829999999999999</c:v>
              </c:pt>
              <c:pt idx="2">
                <c:v>0.49730000000000002</c:v>
              </c:pt>
              <c:pt idx="3">
                <c:v>0.59709999999999996</c:v>
              </c:pt>
              <c:pt idx="4">
                <c:v>0.79949999999999999</c:v>
              </c:pt>
              <c:pt idx="5">
                <c:v>0.99509999999999998</c:v>
              </c:pt>
              <c:pt idx="6">
                <c:v>1.1932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B68-4AF0-BA9A-531E44623370}"/>
            </c:ext>
          </c:extLst>
        </c:ser>
        <c:ser>
          <c:idx val="1"/>
          <c:order val="1"/>
          <c:tx>
            <c:v>Ajuste lineal</c:v>
          </c:tx>
          <c:xVal>
            <c:numLit>
              <c:ptCount val="0"/>
            </c:numLit>
          </c:xVal>
          <c:yVal>
            <c:numLit>
              <c:formatCode>0.0</c:formatCode>
              <c:ptCount val="7"/>
              <c:pt idx="0">
                <c:v>0.1996031128404667</c:v>
              </c:pt>
              <c:pt idx="1">
                <c:v>0.39855330739299599</c:v>
              </c:pt>
              <c:pt idx="2">
                <c:v>0.49802840466926063</c:v>
              </c:pt>
              <c:pt idx="3">
                <c:v>0.59750350194552537</c:v>
              </c:pt>
              <c:pt idx="4">
                <c:v>0.79645369649805464</c:v>
              </c:pt>
              <c:pt idx="5">
                <c:v>0.99540389105058391</c:v>
              </c:pt>
              <c:pt idx="6">
                <c:v>1.1943540856031132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B68-4AF0-BA9A-531E44623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Voltaje de salida (V)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Corriente de entrada (A)</a:t>
                </a:r>
              </a:p>
            </c:rich>
          </c:tx>
          <c:overlay val="1"/>
        </c:title>
        <c:numFmt formatCode="0.##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SCT013 (30A/1V) — Curva de transferencia y ajuste lineal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Voltaje medido</c:v>
          </c:tx>
          <c:xVal>
            <c:numLit>
              <c:ptCount val="0"/>
            </c:numLit>
          </c:xVal>
          <c:yVal>
            <c:numLit>
              <c:formatCode>0.0</c:formatCode>
              <c:ptCount val="7"/>
              <c:pt idx="0">
                <c:v>0.19939999999999999</c:v>
              </c:pt>
              <c:pt idx="1">
                <c:v>0.39950000000000002</c:v>
              </c:pt>
              <c:pt idx="2">
                <c:v>0.49969999999999998</c:v>
              </c:pt>
              <c:pt idx="3">
                <c:v>0.59960000000000002</c:v>
              </c:pt>
              <c:pt idx="4">
                <c:v>0.79969999999999997</c:v>
              </c:pt>
              <c:pt idx="5">
                <c:v>0.99939999999999996</c:v>
              </c:pt>
              <c:pt idx="6">
                <c:v>1.1993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DCE-4DEF-AED2-BA7F8333898A}"/>
            </c:ext>
          </c:extLst>
        </c:ser>
        <c:ser>
          <c:idx val="1"/>
          <c:order val="1"/>
          <c:tx>
            <c:v>Ajuste lineal</c:v>
          </c:tx>
          <c:xVal>
            <c:numLit>
              <c:ptCount val="0"/>
            </c:numLit>
          </c:xVal>
          <c:yVal>
            <c:numLit>
              <c:formatCode>0.0</c:formatCode>
              <c:ptCount val="7"/>
              <c:pt idx="0">
                <c:v>0.19958307392996102</c:v>
              </c:pt>
              <c:pt idx="1">
                <c:v>0.39955389105058364</c:v>
              </c:pt>
              <c:pt idx="2">
                <c:v>0.49953929961089494</c:v>
              </c:pt>
              <c:pt idx="3">
                <c:v>0.59952470817120618</c:v>
              </c:pt>
              <c:pt idx="4">
                <c:v>0.79949552529182877</c:v>
              </c:pt>
              <c:pt idx="5">
                <c:v>0.99946634241245136</c:v>
              </c:pt>
              <c:pt idx="6">
                <c:v>1.1994371595330739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DCE-4DEF-AED2-BA7F8333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Voltaje de salida (V)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Corriente de entrada (A)</a:t>
                </a:r>
              </a:p>
            </c:rich>
          </c:tx>
          <c:overlay val="1"/>
        </c:title>
        <c:numFmt formatCode="0.##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6675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6675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6675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A16" sqref="A16:J16"/>
    </sheetView>
  </sheetViews>
  <sheetFormatPr baseColWidth="10" defaultColWidth="8.6640625" defaultRowHeight="14"/>
  <cols>
    <col min="1" max="1" width="22" customWidth="1"/>
    <col min="2" max="3" width="18" customWidth="1"/>
    <col min="4" max="4" width="21" customWidth="1"/>
    <col min="5" max="5" width="20" customWidth="1"/>
    <col min="6" max="6" width="16" customWidth="1"/>
    <col min="7" max="7" width="14" customWidth="1"/>
    <col min="8" max="8" width="21" customWidth="1"/>
    <col min="9" max="9" width="23" customWidth="1"/>
    <col min="10" max="10" width="21" customWidth="1"/>
  </cols>
  <sheetData>
    <row r="1" spans="1:10" ht="18.649999999999999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>
      <c r="A4" s="33"/>
      <c r="B4" s="33"/>
      <c r="C4" s="33"/>
      <c r="D4" s="33"/>
      <c r="E4" s="33"/>
      <c r="F4" s="33"/>
      <c r="G4" s="33"/>
      <c r="H4" s="33"/>
      <c r="I4" s="33"/>
      <c r="J4" s="33"/>
    </row>
    <row r="6" spans="1:10" ht="22.65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</row>
    <row r="7" spans="1:10">
      <c r="A7" s="23" t="s">
        <v>11</v>
      </c>
      <c r="B7" s="26">
        <f>CT100A_1V!K4</f>
        <v>100</v>
      </c>
      <c r="C7" s="26">
        <f>CT100A_1V!K5</f>
        <v>1</v>
      </c>
      <c r="D7" s="26">
        <f>CT100A_1V!K6</f>
        <v>0.01</v>
      </c>
      <c r="E7" s="26">
        <f>CT100A_1V!K7</f>
        <v>9.9303112840466914E-3</v>
      </c>
      <c r="F7" s="26">
        <f>CT100A_1V!K8</f>
        <v>5.9933852140079402E-3</v>
      </c>
      <c r="G7" s="28">
        <f>CT100A_1V!K9</f>
        <v>0.99992055749837727</v>
      </c>
      <c r="H7" s="26">
        <f>CT100A_1V!K10</f>
        <v>4.7307392996107644E-3</v>
      </c>
      <c r="I7" s="30">
        <f>CT100A_1V!K11</f>
        <v>0.47307392996107644</v>
      </c>
      <c r="J7" s="31">
        <f>CT100A_1V!K12</f>
        <v>0.6999999999999923</v>
      </c>
    </row>
    <row r="8" spans="1:10">
      <c r="A8" s="24" t="s">
        <v>12</v>
      </c>
      <c r="B8" s="4">
        <f>CT20A_1V!K4</f>
        <v>20</v>
      </c>
      <c r="C8" s="4">
        <f>CT20A_1V!K5</f>
        <v>1</v>
      </c>
      <c r="D8" s="4">
        <f>CT20A_1V!K6</f>
        <v>0.05</v>
      </c>
      <c r="E8" s="4">
        <f>CT20A_1V!K7</f>
        <v>4.9737548638132296E-2</v>
      </c>
      <c r="F8" s="4">
        <f>CT20A_1V!K8</f>
        <v>6.5291828793767603E-4</v>
      </c>
      <c r="G8" s="5">
        <f>CT20A_1V!K9</f>
        <v>0.99998416887629482</v>
      </c>
      <c r="H8" s="4">
        <f>CT20A_1V!K10</f>
        <v>3.0463035019455686E-3</v>
      </c>
      <c r="I8" s="2">
        <f>CT20A_1V!K11</f>
        <v>0.30463035019455686</v>
      </c>
      <c r="J8" s="19">
        <f>CT20A_1V!K12</f>
        <v>0.56666666666665977</v>
      </c>
    </row>
    <row r="9" spans="1:10">
      <c r="A9" s="25" t="s">
        <v>13</v>
      </c>
      <c r="B9" s="27">
        <f>CT30A_1V!K4</f>
        <v>30</v>
      </c>
      <c r="C9" s="27">
        <f>CT30A_1V!K5</f>
        <v>1</v>
      </c>
      <c r="D9" s="27">
        <f>CT30A_1V!K6</f>
        <v>3.3333333333333333E-2</v>
      </c>
      <c r="E9" s="27">
        <f>CT30A_1V!K7</f>
        <v>3.3328469520103758E-2</v>
      </c>
      <c r="F9" s="27">
        <f>CT30A_1V!K8</f>
        <v>-3.8774319066137153E-4</v>
      </c>
      <c r="G9" s="29">
        <f>CT30A_1V!K9</f>
        <v>0.99999981890356815</v>
      </c>
      <c r="H9" s="27">
        <f>CT30A_1V!K10</f>
        <v>2.0447470817119839E-4</v>
      </c>
      <c r="I9" s="12">
        <f>CT30A_1V!K11</f>
        <v>2.0447470817119839E-2</v>
      </c>
      <c r="J9" s="20">
        <f>CT30A_1V!K12</f>
        <v>0.30000000000000859</v>
      </c>
    </row>
    <row r="11" spans="1:10">
      <c r="A11" s="34" t="s">
        <v>14</v>
      </c>
      <c r="B11" s="34"/>
      <c r="C11" s="34"/>
      <c r="D11" s="34"/>
      <c r="E11" s="34"/>
      <c r="F11" s="34"/>
      <c r="G11" s="34"/>
      <c r="H11" s="34"/>
      <c r="I11" s="34"/>
      <c r="J11" s="34"/>
    </row>
    <row r="12" spans="1:10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>
      <c r="A14" s="33"/>
      <c r="B14" s="33"/>
      <c r="C14" s="33"/>
      <c r="D14" s="33"/>
      <c r="E14" s="33"/>
      <c r="F14" s="33"/>
      <c r="G14" s="33"/>
      <c r="H14" s="33"/>
      <c r="I14" s="33"/>
      <c r="J14" s="33"/>
    </row>
    <row r="16" spans="1:10">
      <c r="A16" s="35"/>
      <c r="B16" s="35"/>
      <c r="C16" s="35"/>
      <c r="D16" s="35"/>
      <c r="E16" s="35"/>
      <c r="F16" s="35"/>
      <c r="G16" s="35"/>
      <c r="H16" s="35"/>
      <c r="I16" s="35"/>
      <c r="J16" s="35"/>
    </row>
  </sheetData>
  <mergeCells count="5">
    <mergeCell ref="A1:J1"/>
    <mergeCell ref="A3:J4"/>
    <mergeCell ref="A11:J11"/>
    <mergeCell ref="A12:J14"/>
    <mergeCell ref="A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opLeftCell="C1" workbookViewId="0">
      <selection sqref="A1:K1"/>
    </sheetView>
  </sheetViews>
  <sheetFormatPr baseColWidth="10" defaultColWidth="8.6640625" defaultRowHeight="14"/>
  <cols>
    <col min="1" max="1" width="15" customWidth="1"/>
    <col min="2" max="2" width="19" customWidth="1"/>
    <col min="3" max="3" width="18" customWidth="1"/>
    <col min="4" max="4" width="17" customWidth="1"/>
    <col min="5" max="5" width="14" customWidth="1"/>
    <col min="6" max="6" width="15" customWidth="1"/>
    <col min="7" max="7" width="17" customWidth="1"/>
    <col min="8" max="8" width="14" customWidth="1"/>
    <col min="10" max="10" width="30" customWidth="1"/>
    <col min="11" max="11" width="17" customWidth="1"/>
  </cols>
  <sheetData>
    <row r="1" spans="1:11" ht="18" customHeight="1">
      <c r="A1" s="36" t="s">
        <v>15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11" ht="20.65" customHeight="1">
      <c r="A3" s="6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8" t="s">
        <v>23</v>
      </c>
      <c r="J3" s="15" t="s">
        <v>24</v>
      </c>
      <c r="K3" s="16" t="s">
        <v>25</v>
      </c>
    </row>
    <row r="4" spans="1:11">
      <c r="A4" s="9">
        <v>20</v>
      </c>
      <c r="B4" s="2">
        <v>0.2011</v>
      </c>
      <c r="C4" s="2">
        <f t="shared" ref="C4:C10" si="0">$K$7*A4+$K$8</f>
        <v>0.20459961089494177</v>
      </c>
      <c r="D4" s="2">
        <f t="shared" ref="D4:D10" si="1">A4/$K$4*$K$5</f>
        <v>0.2</v>
      </c>
      <c r="E4" s="2">
        <f t="shared" ref="E4:E10" si="2">B4-C4</f>
        <v>-3.4996108949417737E-3</v>
      </c>
      <c r="F4" s="2">
        <f t="shared" ref="F4:F10" si="3">ABS(E4)</f>
        <v>3.4996108949417737E-3</v>
      </c>
      <c r="G4" s="3">
        <f t="shared" ref="G4:G10" si="4">(B4-D4)/D4*100</f>
        <v>0.54999999999999494</v>
      </c>
      <c r="H4" s="10">
        <f t="shared" ref="H4:H10" si="5">ABS(G4)</f>
        <v>0.54999999999999494</v>
      </c>
      <c r="J4" s="21" t="s">
        <v>2</v>
      </c>
      <c r="K4" s="17">
        <v>100</v>
      </c>
    </row>
    <row r="5" spans="1:11">
      <c r="A5" s="9">
        <v>40</v>
      </c>
      <c r="B5" s="2">
        <v>0.40279999999999999</v>
      </c>
      <c r="C5" s="2">
        <f t="shared" si="0"/>
        <v>0.40320583657587561</v>
      </c>
      <c r="D5" s="2">
        <f t="shared" si="1"/>
        <v>0.4</v>
      </c>
      <c r="E5" s="2">
        <f t="shared" si="2"/>
        <v>-4.0583657587561772E-4</v>
      </c>
      <c r="F5" s="2">
        <f t="shared" si="3"/>
        <v>4.0583657587561772E-4</v>
      </c>
      <c r="G5" s="3">
        <f t="shared" si="4"/>
        <v>0.6999999999999923</v>
      </c>
      <c r="H5" s="10">
        <f t="shared" si="5"/>
        <v>0.6999999999999923</v>
      </c>
      <c r="J5" s="21" t="s">
        <v>26</v>
      </c>
      <c r="K5" s="17">
        <v>1</v>
      </c>
    </row>
    <row r="6" spans="1:11">
      <c r="A6" s="9">
        <v>50</v>
      </c>
      <c r="B6" s="2">
        <v>0.50339999999999996</v>
      </c>
      <c r="C6" s="2">
        <f t="shared" si="0"/>
        <v>0.5025089494163425</v>
      </c>
      <c r="D6" s="2">
        <f t="shared" si="1"/>
        <v>0.5</v>
      </c>
      <c r="E6" s="2">
        <f t="shared" si="2"/>
        <v>8.9105058365746004E-4</v>
      </c>
      <c r="F6" s="2">
        <f t="shared" si="3"/>
        <v>8.9105058365746004E-4</v>
      </c>
      <c r="G6" s="3">
        <f t="shared" si="4"/>
        <v>0.67999999999999172</v>
      </c>
      <c r="H6" s="10">
        <f t="shared" si="5"/>
        <v>0.67999999999999172</v>
      </c>
      <c r="J6" s="21" t="s">
        <v>4</v>
      </c>
      <c r="K6" s="17">
        <f>K5/K4</f>
        <v>0.01</v>
      </c>
    </row>
    <row r="7" spans="1:11">
      <c r="A7" s="9">
        <v>60</v>
      </c>
      <c r="B7" s="2">
        <v>0.60409999999999997</v>
      </c>
      <c r="C7" s="2">
        <f t="shared" si="0"/>
        <v>0.60181206225680939</v>
      </c>
      <c r="D7" s="2">
        <f t="shared" si="1"/>
        <v>0.6</v>
      </c>
      <c r="E7" s="2">
        <f t="shared" si="2"/>
        <v>2.2879377431905823E-3</v>
      </c>
      <c r="F7" s="2">
        <f t="shared" si="3"/>
        <v>2.2879377431905823E-3</v>
      </c>
      <c r="G7" s="3">
        <f t="shared" si="4"/>
        <v>0.68333333333333213</v>
      </c>
      <c r="H7" s="10">
        <f t="shared" si="5"/>
        <v>0.68333333333333213</v>
      </c>
      <c r="J7" s="21" t="s">
        <v>27</v>
      </c>
      <c r="K7" s="17">
        <f>SLOPE(B4:B10,A4:A10)</f>
        <v>9.9303112840466914E-3</v>
      </c>
    </row>
    <row r="8" spans="1:11">
      <c r="A8" s="9">
        <v>80</v>
      </c>
      <c r="B8" s="2">
        <v>0.80410000000000004</v>
      </c>
      <c r="C8" s="2">
        <f t="shared" si="0"/>
        <v>0.80041828793774328</v>
      </c>
      <c r="D8" s="2">
        <f t="shared" si="1"/>
        <v>0.8</v>
      </c>
      <c r="E8" s="2">
        <f t="shared" si="2"/>
        <v>3.681712062256759E-3</v>
      </c>
      <c r="F8" s="2">
        <f t="shared" si="3"/>
        <v>3.681712062256759E-3</v>
      </c>
      <c r="G8" s="3">
        <f t="shared" si="4"/>
        <v>0.51249999999999907</v>
      </c>
      <c r="H8" s="10">
        <f t="shared" si="5"/>
        <v>0.51249999999999907</v>
      </c>
      <c r="J8" s="21" t="s">
        <v>6</v>
      </c>
      <c r="K8" s="17">
        <f>INTERCEPT(B4:B10,A4:A10)</f>
        <v>5.9933852140079402E-3</v>
      </c>
    </row>
    <row r="9" spans="1:11">
      <c r="A9" s="9">
        <v>100</v>
      </c>
      <c r="B9" s="2">
        <v>1.0007999999999999</v>
      </c>
      <c r="C9" s="2">
        <f t="shared" si="0"/>
        <v>0.99902451361867706</v>
      </c>
      <c r="D9" s="2">
        <f t="shared" si="1"/>
        <v>1</v>
      </c>
      <c r="E9" s="2">
        <f t="shared" si="2"/>
        <v>1.775486381322855E-3</v>
      </c>
      <c r="F9" s="2">
        <f t="shared" si="3"/>
        <v>1.775486381322855E-3</v>
      </c>
      <c r="G9" s="3">
        <f t="shared" si="4"/>
        <v>7.9999999999991189E-2</v>
      </c>
      <c r="H9" s="10">
        <f t="shared" si="5"/>
        <v>7.9999999999991189E-2</v>
      </c>
      <c r="J9" s="21" t="s">
        <v>28</v>
      </c>
      <c r="K9" s="18">
        <f>RSQ(B4:B10,A4:A10)</f>
        <v>0.99992055749837727</v>
      </c>
    </row>
    <row r="10" spans="1:11">
      <c r="A10" s="11">
        <v>120</v>
      </c>
      <c r="B10" s="12">
        <v>1.1929000000000001</v>
      </c>
      <c r="C10" s="12">
        <f t="shared" si="0"/>
        <v>1.1976307392996108</v>
      </c>
      <c r="D10" s="12">
        <f t="shared" si="1"/>
        <v>1.2</v>
      </c>
      <c r="E10" s="12">
        <f t="shared" si="2"/>
        <v>-4.7307392996107644E-3</v>
      </c>
      <c r="F10" s="12">
        <f t="shared" si="3"/>
        <v>4.7307392996107644E-3</v>
      </c>
      <c r="G10" s="13">
        <f t="shared" si="4"/>
        <v>-0.59166666666665702</v>
      </c>
      <c r="H10" s="14">
        <f t="shared" si="5"/>
        <v>0.59166666666665702</v>
      </c>
      <c r="J10" s="21" t="s">
        <v>29</v>
      </c>
      <c r="K10" s="17">
        <f>MAX(F4:F10)</f>
        <v>4.7307392996107644E-3</v>
      </c>
    </row>
    <row r="11" spans="1:11">
      <c r="J11" s="21" t="s">
        <v>30</v>
      </c>
      <c r="K11" s="19">
        <f>K10/K5*100</f>
        <v>0.47307392996107644</v>
      </c>
    </row>
    <row r="12" spans="1:11">
      <c r="A12" s="33" t="s">
        <v>31</v>
      </c>
      <c r="B12" s="33"/>
      <c r="C12" s="33"/>
      <c r="D12" s="33"/>
      <c r="E12" s="33"/>
      <c r="F12" s="33"/>
      <c r="G12" s="33"/>
      <c r="H12" s="33"/>
      <c r="J12" s="21" t="s">
        <v>32</v>
      </c>
      <c r="K12" s="19">
        <f>MAX(H4:H10)</f>
        <v>0.6999999999999923</v>
      </c>
    </row>
    <row r="13" spans="1:11">
      <c r="A13" s="33"/>
      <c r="B13" s="33"/>
      <c r="C13" s="33"/>
      <c r="D13" s="33"/>
      <c r="E13" s="33"/>
      <c r="F13" s="33"/>
      <c r="G13" s="33"/>
      <c r="H13" s="33"/>
      <c r="J13" s="22" t="s">
        <v>33</v>
      </c>
      <c r="K13" s="20">
        <f>K9*100</f>
        <v>99.992055749837732</v>
      </c>
    </row>
  </sheetData>
  <mergeCells count="2">
    <mergeCell ref="A1:K1"/>
    <mergeCell ref="A12:H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opLeftCell="A6" workbookViewId="0">
      <selection sqref="A1:K1"/>
    </sheetView>
  </sheetViews>
  <sheetFormatPr baseColWidth="10" defaultColWidth="8.6640625" defaultRowHeight="14"/>
  <cols>
    <col min="1" max="1" width="15" customWidth="1"/>
    <col min="2" max="2" width="19" customWidth="1"/>
    <col min="3" max="3" width="18" customWidth="1"/>
    <col min="4" max="4" width="17" customWidth="1"/>
    <col min="5" max="5" width="14" customWidth="1"/>
    <col min="6" max="6" width="15" customWidth="1"/>
    <col min="7" max="7" width="17" customWidth="1"/>
    <col min="8" max="8" width="14" customWidth="1"/>
    <col min="10" max="10" width="30" customWidth="1"/>
    <col min="11" max="11" width="17" customWidth="1"/>
  </cols>
  <sheetData>
    <row r="1" spans="1:11" ht="18" customHeight="1">
      <c r="A1" s="36" t="s">
        <v>34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11" ht="20.65" customHeight="1">
      <c r="A3" s="6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8" t="s">
        <v>23</v>
      </c>
      <c r="J3" s="15" t="s">
        <v>24</v>
      </c>
      <c r="K3" s="16" t="s">
        <v>25</v>
      </c>
    </row>
    <row r="4" spans="1:11">
      <c r="A4" s="9">
        <v>4</v>
      </c>
      <c r="B4" s="2">
        <v>0.19939999999999999</v>
      </c>
      <c r="C4" s="2">
        <f t="shared" ref="C4:C10" si="0">$K$7*A4+$K$8</f>
        <v>0.19960311284046686</v>
      </c>
      <c r="D4" s="2">
        <f t="shared" ref="D4:D10" si="1">A4/$K$4*$K$5</f>
        <v>0.2</v>
      </c>
      <c r="E4" s="2">
        <f t="shared" ref="E4:E10" si="2">B4-C4</f>
        <v>-2.0311284046686806E-4</v>
      </c>
      <c r="F4" s="2">
        <f t="shared" ref="F4:F10" si="3">ABS(E4)</f>
        <v>2.0311284046686806E-4</v>
      </c>
      <c r="G4" s="3">
        <f t="shared" ref="G4:G10" si="4">(B4-D4)/D4*100</f>
        <v>-0.30000000000000859</v>
      </c>
      <c r="H4" s="10">
        <f t="shared" ref="H4:H10" si="5">ABS(G4)</f>
        <v>0.30000000000000859</v>
      </c>
      <c r="J4" s="21" t="s">
        <v>2</v>
      </c>
      <c r="K4" s="17">
        <v>20</v>
      </c>
    </row>
    <row r="5" spans="1:11">
      <c r="A5" s="9">
        <v>8</v>
      </c>
      <c r="B5" s="2">
        <v>0.39829999999999999</v>
      </c>
      <c r="C5" s="2">
        <f t="shared" si="0"/>
        <v>0.39855330739299605</v>
      </c>
      <c r="D5" s="2">
        <f t="shared" si="1"/>
        <v>0.4</v>
      </c>
      <c r="E5" s="2">
        <f t="shared" si="2"/>
        <v>-2.5330739299606053E-4</v>
      </c>
      <c r="F5" s="2">
        <f t="shared" si="3"/>
        <v>2.5330739299606053E-4</v>
      </c>
      <c r="G5" s="3">
        <f t="shared" si="4"/>
        <v>-0.4250000000000087</v>
      </c>
      <c r="H5" s="10">
        <f t="shared" si="5"/>
        <v>0.4250000000000087</v>
      </c>
      <c r="J5" s="21" t="s">
        <v>26</v>
      </c>
      <c r="K5" s="17">
        <v>1</v>
      </c>
    </row>
    <row r="6" spans="1:11">
      <c r="A6" s="9">
        <v>10</v>
      </c>
      <c r="B6" s="2">
        <v>0.49730000000000002</v>
      </c>
      <c r="C6" s="2">
        <f t="shared" si="0"/>
        <v>0.49802840466926063</v>
      </c>
      <c r="D6" s="2">
        <f t="shared" si="1"/>
        <v>0.5</v>
      </c>
      <c r="E6" s="2">
        <f t="shared" si="2"/>
        <v>-7.2840466926060721E-4</v>
      </c>
      <c r="F6" s="2">
        <f t="shared" si="3"/>
        <v>7.2840466926060721E-4</v>
      </c>
      <c r="G6" s="3">
        <f t="shared" si="4"/>
        <v>-0.53999999999999604</v>
      </c>
      <c r="H6" s="10">
        <f t="shared" si="5"/>
        <v>0.53999999999999604</v>
      </c>
      <c r="J6" s="21" t="s">
        <v>4</v>
      </c>
      <c r="K6" s="17">
        <f>K5/K4</f>
        <v>0.05</v>
      </c>
    </row>
    <row r="7" spans="1:11">
      <c r="A7" s="9">
        <v>12</v>
      </c>
      <c r="B7" s="2">
        <v>0.59709999999999996</v>
      </c>
      <c r="C7" s="2">
        <f t="shared" si="0"/>
        <v>0.59750350194552526</v>
      </c>
      <c r="D7" s="2">
        <f t="shared" si="1"/>
        <v>0.6</v>
      </c>
      <c r="E7" s="2">
        <f t="shared" si="2"/>
        <v>-4.035019455252975E-4</v>
      </c>
      <c r="F7" s="2">
        <f t="shared" si="3"/>
        <v>4.035019455252975E-4</v>
      </c>
      <c r="G7" s="3">
        <f t="shared" si="4"/>
        <v>-0.48333333333333561</v>
      </c>
      <c r="H7" s="10">
        <f t="shared" si="5"/>
        <v>0.48333333333333561</v>
      </c>
      <c r="J7" s="21" t="s">
        <v>27</v>
      </c>
      <c r="K7" s="17">
        <f>SLOPE(B4:B10,A4:A10)</f>
        <v>4.9737548638132296E-2</v>
      </c>
    </row>
    <row r="8" spans="1:11">
      <c r="A8" s="9">
        <v>16</v>
      </c>
      <c r="B8" s="2">
        <v>0.79949999999999999</v>
      </c>
      <c r="C8" s="2">
        <f t="shared" si="0"/>
        <v>0.79645369649805442</v>
      </c>
      <c r="D8" s="2">
        <f t="shared" si="1"/>
        <v>0.8</v>
      </c>
      <c r="E8" s="2">
        <f t="shared" si="2"/>
        <v>3.0463035019455686E-3</v>
      </c>
      <c r="F8" s="2">
        <f t="shared" si="3"/>
        <v>3.0463035019455686E-3</v>
      </c>
      <c r="G8" s="3">
        <f t="shared" si="4"/>
        <v>-6.2500000000006994E-2</v>
      </c>
      <c r="H8" s="10">
        <f t="shared" si="5"/>
        <v>6.2500000000006994E-2</v>
      </c>
      <c r="J8" s="21" t="s">
        <v>6</v>
      </c>
      <c r="K8" s="17">
        <f>INTERCEPT(B4:B10,A4:A10)</f>
        <v>6.5291828793767603E-4</v>
      </c>
    </row>
    <row r="9" spans="1:11">
      <c r="A9" s="9">
        <v>20</v>
      </c>
      <c r="B9" s="2">
        <v>0.99509999999999998</v>
      </c>
      <c r="C9" s="2">
        <f t="shared" si="0"/>
        <v>0.99540389105058358</v>
      </c>
      <c r="D9" s="2">
        <f t="shared" si="1"/>
        <v>1</v>
      </c>
      <c r="E9" s="2">
        <f t="shared" si="2"/>
        <v>-3.0389105058359345E-4</v>
      </c>
      <c r="F9" s="2">
        <f t="shared" si="3"/>
        <v>3.0389105058359345E-4</v>
      </c>
      <c r="G9" s="3">
        <f t="shared" si="4"/>
        <v>-0.49000000000000155</v>
      </c>
      <c r="H9" s="10">
        <f t="shared" si="5"/>
        <v>0.49000000000000155</v>
      </c>
      <c r="J9" s="21" t="s">
        <v>28</v>
      </c>
      <c r="K9" s="18">
        <f>RSQ(B4:B10,A4:A10)</f>
        <v>0.99998416887629482</v>
      </c>
    </row>
    <row r="10" spans="1:11">
      <c r="A10" s="11">
        <v>24</v>
      </c>
      <c r="B10" s="12">
        <v>1.1932</v>
      </c>
      <c r="C10" s="12">
        <f t="shared" si="0"/>
        <v>1.1943540856031127</v>
      </c>
      <c r="D10" s="12">
        <f t="shared" si="1"/>
        <v>1.2</v>
      </c>
      <c r="E10" s="12">
        <f t="shared" si="2"/>
        <v>-1.1540856031126978E-3</v>
      </c>
      <c r="F10" s="12">
        <f t="shared" si="3"/>
        <v>1.1540856031126978E-3</v>
      </c>
      <c r="G10" s="13">
        <f t="shared" si="4"/>
        <v>-0.56666666666665977</v>
      </c>
      <c r="H10" s="14">
        <f t="shared" si="5"/>
        <v>0.56666666666665977</v>
      </c>
      <c r="J10" s="21" t="s">
        <v>29</v>
      </c>
      <c r="K10" s="17">
        <f>MAX(F4:F10)</f>
        <v>3.0463035019455686E-3</v>
      </c>
    </row>
    <row r="11" spans="1:11">
      <c r="J11" s="21" t="s">
        <v>30</v>
      </c>
      <c r="K11" s="19">
        <f>K10/K5*100</f>
        <v>0.30463035019455686</v>
      </c>
    </row>
    <row r="12" spans="1:11">
      <c r="A12" s="33" t="s">
        <v>31</v>
      </c>
      <c r="B12" s="33"/>
      <c r="C12" s="33"/>
      <c r="D12" s="33"/>
      <c r="E12" s="33"/>
      <c r="F12" s="33"/>
      <c r="G12" s="33"/>
      <c r="H12" s="33"/>
      <c r="J12" s="21" t="s">
        <v>32</v>
      </c>
      <c r="K12" s="19">
        <f>MAX(H4:H10)</f>
        <v>0.56666666666665977</v>
      </c>
    </row>
    <row r="13" spans="1:11">
      <c r="A13" s="33"/>
      <c r="B13" s="33"/>
      <c r="C13" s="33"/>
      <c r="D13" s="33"/>
      <c r="E13" s="33"/>
      <c r="F13" s="33"/>
      <c r="G13" s="33"/>
      <c r="H13" s="33"/>
      <c r="J13" s="22" t="s">
        <v>33</v>
      </c>
      <c r="K13" s="20">
        <f>K9*100</f>
        <v>99.998416887629489</v>
      </c>
    </row>
  </sheetData>
  <mergeCells count="2">
    <mergeCell ref="A1:K1"/>
    <mergeCell ref="A12:H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abSelected="1" topLeftCell="A3" workbookViewId="0">
      <selection sqref="A1:K1"/>
    </sheetView>
  </sheetViews>
  <sheetFormatPr baseColWidth="10" defaultColWidth="8.6640625" defaultRowHeight="14"/>
  <cols>
    <col min="1" max="1" width="15" customWidth="1"/>
    <col min="2" max="2" width="19" customWidth="1"/>
    <col min="3" max="3" width="18" customWidth="1"/>
    <col min="4" max="4" width="17" customWidth="1"/>
    <col min="5" max="5" width="14" customWidth="1"/>
    <col min="6" max="6" width="15" customWidth="1"/>
    <col min="7" max="7" width="17" customWidth="1"/>
    <col min="8" max="8" width="14" customWidth="1"/>
    <col min="10" max="10" width="30" customWidth="1"/>
    <col min="11" max="11" width="17" customWidth="1"/>
  </cols>
  <sheetData>
    <row r="1" spans="1:11" ht="18" customHeight="1">
      <c r="A1" s="36" t="s">
        <v>35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11" ht="20.65" customHeight="1">
      <c r="A3" s="6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8" t="s">
        <v>23</v>
      </c>
      <c r="J3" s="15" t="s">
        <v>24</v>
      </c>
      <c r="K3" s="16" t="s">
        <v>25</v>
      </c>
    </row>
    <row r="4" spans="1:11">
      <c r="A4" s="9">
        <v>6</v>
      </c>
      <c r="B4" s="2">
        <v>0.19939999999999999</v>
      </c>
      <c r="C4" s="2">
        <f t="shared" ref="C4:C10" si="0">$K$7*A4+$K$8</f>
        <v>0.19958307392996116</v>
      </c>
      <c r="D4" s="2">
        <f t="shared" ref="D4:D10" si="1">A4/$K$4*$K$5</f>
        <v>0.2</v>
      </c>
      <c r="E4" s="2">
        <f t="shared" ref="E4:E10" si="2">B4-C4</f>
        <v>-1.8307392996116945E-4</v>
      </c>
      <c r="F4" s="2">
        <f t="shared" ref="F4:F10" si="3">ABS(E4)</f>
        <v>1.8307392996116945E-4</v>
      </c>
      <c r="G4" s="3">
        <f t="shared" ref="G4:G10" si="4">(B4-D4)/D4*100</f>
        <v>-0.30000000000000859</v>
      </c>
      <c r="H4" s="10">
        <f t="shared" ref="H4:H10" si="5">ABS(G4)</f>
        <v>0.30000000000000859</v>
      </c>
      <c r="J4" s="21" t="s">
        <v>2</v>
      </c>
      <c r="K4" s="17">
        <v>30</v>
      </c>
    </row>
    <row r="5" spans="1:11">
      <c r="A5" s="9">
        <v>12</v>
      </c>
      <c r="B5" s="2">
        <v>0.39950000000000002</v>
      </c>
      <c r="C5" s="2">
        <f t="shared" si="0"/>
        <v>0.3995538910505837</v>
      </c>
      <c r="D5" s="2">
        <f t="shared" si="1"/>
        <v>0.4</v>
      </c>
      <c r="E5" s="2">
        <f t="shared" si="2"/>
        <v>-5.3891050583676492E-5</v>
      </c>
      <c r="F5" s="2">
        <f t="shared" si="3"/>
        <v>5.3891050583676492E-5</v>
      </c>
      <c r="G5" s="3">
        <f t="shared" si="4"/>
        <v>-0.12500000000000011</v>
      </c>
      <c r="H5" s="10">
        <f t="shared" si="5"/>
        <v>0.12500000000000011</v>
      </c>
      <c r="J5" s="21" t="s">
        <v>26</v>
      </c>
      <c r="K5" s="17">
        <v>1</v>
      </c>
    </row>
    <row r="6" spans="1:11">
      <c r="A6" s="9">
        <v>15</v>
      </c>
      <c r="B6" s="2">
        <v>0.49969999999999998</v>
      </c>
      <c r="C6" s="2">
        <f t="shared" si="0"/>
        <v>0.49953929961089499</v>
      </c>
      <c r="D6" s="2">
        <f t="shared" si="1"/>
        <v>0.5</v>
      </c>
      <c r="E6" s="2">
        <f t="shared" si="2"/>
        <v>1.6070038910498408E-4</v>
      </c>
      <c r="F6" s="2">
        <f t="shared" si="3"/>
        <v>1.6070038910498408E-4</v>
      </c>
      <c r="G6" s="3">
        <f t="shared" si="4"/>
        <v>-6.0000000000004494E-2</v>
      </c>
      <c r="H6" s="10">
        <f t="shared" si="5"/>
        <v>6.0000000000004494E-2</v>
      </c>
      <c r="J6" s="21" t="s">
        <v>4</v>
      </c>
      <c r="K6" s="17">
        <f>K5/K4</f>
        <v>3.3333333333333333E-2</v>
      </c>
    </row>
    <row r="7" spans="1:11">
      <c r="A7" s="9">
        <v>18</v>
      </c>
      <c r="B7" s="2">
        <v>0.59960000000000002</v>
      </c>
      <c r="C7" s="2">
        <f t="shared" si="0"/>
        <v>0.59952470817120629</v>
      </c>
      <c r="D7" s="2">
        <f t="shared" si="1"/>
        <v>0.6</v>
      </c>
      <c r="E7" s="2">
        <f t="shared" si="2"/>
        <v>7.5291828793733195E-5</v>
      </c>
      <c r="F7" s="2">
        <f t="shared" si="3"/>
        <v>7.5291828793733195E-5</v>
      </c>
      <c r="G7" s="3">
        <f t="shared" si="4"/>
        <v>-6.6666666666659324E-2</v>
      </c>
      <c r="H7" s="10">
        <f t="shared" si="5"/>
        <v>6.6666666666659324E-2</v>
      </c>
      <c r="J7" s="21" t="s">
        <v>27</v>
      </c>
      <c r="K7" s="17">
        <f>SLOPE(B4:B10,A4:A10)</f>
        <v>3.3328469520103758E-2</v>
      </c>
    </row>
    <row r="8" spans="1:11">
      <c r="A8" s="9">
        <v>24</v>
      </c>
      <c r="B8" s="2">
        <v>0.79969999999999997</v>
      </c>
      <c r="C8" s="2">
        <f t="shared" si="0"/>
        <v>0.79949552529182877</v>
      </c>
      <c r="D8" s="2">
        <f t="shared" si="1"/>
        <v>0.8</v>
      </c>
      <c r="E8" s="2">
        <f t="shared" si="2"/>
        <v>2.0447470817119839E-4</v>
      </c>
      <c r="F8" s="2">
        <f t="shared" si="3"/>
        <v>2.0447470817119839E-4</v>
      </c>
      <c r="G8" s="3">
        <f t="shared" si="4"/>
        <v>-3.7500000000009748E-2</v>
      </c>
      <c r="H8" s="10">
        <f t="shared" si="5"/>
        <v>3.7500000000009748E-2</v>
      </c>
      <c r="J8" s="21" t="s">
        <v>6</v>
      </c>
      <c r="K8" s="17">
        <f>INTERCEPT(B4:B10,A4:A10)</f>
        <v>-3.8774319066137153E-4</v>
      </c>
    </row>
    <row r="9" spans="1:11">
      <c r="A9" s="9">
        <v>30</v>
      </c>
      <c r="B9" s="2">
        <v>0.99939999999999996</v>
      </c>
      <c r="C9" s="2">
        <f t="shared" si="0"/>
        <v>0.99946634241245136</v>
      </c>
      <c r="D9" s="2">
        <f t="shared" si="1"/>
        <v>1</v>
      </c>
      <c r="E9" s="2">
        <f t="shared" si="2"/>
        <v>-6.6342412451403376E-5</v>
      </c>
      <c r="F9" s="2">
        <f t="shared" si="3"/>
        <v>6.6342412451403376E-5</v>
      </c>
      <c r="G9" s="3">
        <f t="shared" si="4"/>
        <v>-6.0000000000004494E-2</v>
      </c>
      <c r="H9" s="10">
        <f t="shared" si="5"/>
        <v>6.0000000000004494E-2</v>
      </c>
      <c r="J9" s="21" t="s">
        <v>28</v>
      </c>
      <c r="K9" s="18">
        <f>RSQ(B4:B10,A4:A10)</f>
        <v>0.99999981890356815</v>
      </c>
    </row>
    <row r="10" spans="1:11">
      <c r="A10" s="11">
        <v>36</v>
      </c>
      <c r="B10" s="12">
        <v>1.1993</v>
      </c>
      <c r="C10" s="12">
        <f t="shared" si="0"/>
        <v>1.1994371595330739</v>
      </c>
      <c r="D10" s="12">
        <f t="shared" si="1"/>
        <v>1.2</v>
      </c>
      <c r="E10" s="12">
        <f t="shared" si="2"/>
        <v>-1.3715953307391615E-4</v>
      </c>
      <c r="F10" s="12">
        <f t="shared" si="3"/>
        <v>1.3715953307391615E-4</v>
      </c>
      <c r="G10" s="13">
        <f t="shared" si="4"/>
        <v>-5.8333333333326909E-2</v>
      </c>
      <c r="H10" s="14">
        <f t="shared" si="5"/>
        <v>5.8333333333326909E-2</v>
      </c>
      <c r="J10" s="21" t="s">
        <v>29</v>
      </c>
      <c r="K10" s="17">
        <f>MAX(F4:F10)</f>
        <v>2.0447470817119839E-4</v>
      </c>
    </row>
    <row r="11" spans="1:11">
      <c r="J11" s="21" t="s">
        <v>30</v>
      </c>
      <c r="K11" s="19">
        <f>K10/K5*100</f>
        <v>2.0447470817119839E-2</v>
      </c>
    </row>
    <row r="12" spans="1:11">
      <c r="A12" s="33" t="s">
        <v>31</v>
      </c>
      <c r="B12" s="33"/>
      <c r="C12" s="33"/>
      <c r="D12" s="33"/>
      <c r="E12" s="33"/>
      <c r="F12" s="33"/>
      <c r="G12" s="33"/>
      <c r="H12" s="33"/>
      <c r="J12" s="21" t="s">
        <v>32</v>
      </c>
      <c r="K12" s="19">
        <f>MAX(H4:H10)</f>
        <v>0.30000000000000859</v>
      </c>
    </row>
    <row r="13" spans="1:11">
      <c r="A13" s="33"/>
      <c r="B13" s="33"/>
      <c r="C13" s="33"/>
      <c r="D13" s="33"/>
      <c r="E13" s="33"/>
      <c r="F13" s="33"/>
      <c r="G13" s="33"/>
      <c r="H13" s="33"/>
      <c r="J13" s="22" t="s">
        <v>33</v>
      </c>
      <c r="K13" s="20">
        <f>K9*100</f>
        <v>99.999981890356821</v>
      </c>
    </row>
  </sheetData>
  <mergeCells count="2">
    <mergeCell ref="A1:K1"/>
    <mergeCell ref="A12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CT100A_1V</vt:lpstr>
      <vt:lpstr>CT20A_1V</vt:lpstr>
      <vt:lpstr>CT30A_1V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Brigitte Mejia</cp:lastModifiedBy>
  <dcterms:created xsi:type="dcterms:W3CDTF">2026-10-03T01:57:38Z</dcterms:created>
  <dcterms:modified xsi:type="dcterms:W3CDTF">2026-10-03T01:57:38Z</dcterms:modified>
</cp:coreProperties>
</file>