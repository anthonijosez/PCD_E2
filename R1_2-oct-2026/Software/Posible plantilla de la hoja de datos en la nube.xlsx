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<sst xmlns="http://schemas.openxmlformats.org/spreadsheetml/2006/main" count="25" uniqueCount="19">
  <si>
    <t>TELEMETRÍA IoT • MONITOR DE ENERGÍA ESP32 (NUBE)</t>
  </si>
  <si>
    <t>Dispositivo: ESP32-PWR-01</t>
  </si>
  <si>
    <t>Ubicación: Tablero General</t>
  </si>
  <si>
    <t>Protocolo: MQTT / HTTP Cloud</t>
  </si>
  <si>
    <t>Estado: EN LÍNEA</t>
  </si>
  <si>
    <t>Voltaje Promedio</t>
  </si>
  <si>
    <t>Corriente Promedio</t>
  </si>
  <si>
    <t>Potencia Activa Prom.</t>
  </si>
  <si>
    <t>Energía Acumulada</t>
  </si>
  <si>
    <t>Fecha y Hora</t>
  </si>
  <si>
    <t>Voltaje RMS (V)</t>
  </si>
  <si>
    <t>Corriente (A)</t>
  </si>
  <si>
    <t>Factor Potencia (FP)</t>
  </si>
  <si>
    <t>Potencia Activa (W)</t>
  </si>
  <si>
    <t>Energía (kWh)</t>
  </si>
  <si>
    <t>Estado</t>
  </si>
  <si>
    <t>Señal WiFi (dBm)</t>
  </si>
  <si>
    <t>Normal</t>
  </si>
  <si>
    <t>Pico de 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</si>
</sst>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&quot; V&quot;"/>
    <numFmt numFmtId="165" formatCode="0.00&quot; A&quot;"/>
    <numFmt numFmtId="166" formatCode="#,##0.0&quot; W&quot;"/>
    <numFmt numFmtId="167" formatCode="0.000&quot; kWh&quot;"/>
    <numFmt numFmtId="168" formatCode="yyyy-mm-dd hh:mm:ss"/>
    <numFmt numFmtId="169" formatCode="0&quot; dBm&quot;"/>
  </numFmts>
  <fonts count="8">
    <font>
      <sz val="10.0"/>
      <color rgb="FF000000"/>
      <name val="Arial"/>
      <scheme val="minor"/>
    </font>
    <font>
      <b/>
      <sz val="14.0"/>
      <color rgb="FFFFFFFF"/>
      <name val="Roboto"/>
    </font>
    <font/>
    <font>
      <b/>
      <sz val="9.0"/>
      <color rgb="FF213F54"/>
      <name val="Roboto"/>
    </font>
    <font>
      <b/>
      <sz val="9.0"/>
      <color rgb="FF364854"/>
      <name val="Roboto"/>
    </font>
    <font>
      <b/>
      <sz val="14.0"/>
      <color rgb="FF1C6485"/>
      <name val="Roboto"/>
    </font>
    <font>
      <b/>
      <sz val="9.0"/>
      <color rgb="FFFFFFFF"/>
      <name val="Roboto"/>
    </font>
    <font>
      <sz val="9.0"/>
      <color rgb="FF171C1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1C6485"/>
        <bgColor rgb="FF1C6485"/>
      </patternFill>
    </fill>
    <fill>
      <patternFill patternType="solid">
        <fgColor rgb="FFD1E4F4"/>
        <bgColor rgb="FFD1E4F4"/>
      </patternFill>
    </fill>
    <fill>
      <patternFill patternType="solid">
        <fgColor rgb="FFEAF0F7"/>
        <bgColor rgb="FFEAF0F7"/>
      </patternFill>
    </fill>
    <fill>
      <patternFill patternType="solid">
        <fgColor rgb="FFFFFFFF"/>
        <bgColor rgb="FFFFFFFF"/>
      </patternFill>
    </fill>
    <fill>
      <patternFill patternType="solid">
        <fgColor rgb="FFF6F9FD"/>
        <bgColor rgb="FFF6F9FD"/>
      </patternFill>
    </fill>
  </fills>
  <borders count="21">
    <border/>
    <border>
      <left style="thin">
        <color rgb="FF1C6485"/>
      </left>
      <top style="thin">
        <color rgb="FF1C6485"/>
      </top>
      <bottom style="thin">
        <color rgb="FFCCD8E0"/>
      </bottom>
    </border>
    <border>
      <top style="thin">
        <color rgb="FF1C6485"/>
      </top>
      <bottom style="thin">
        <color rgb="FFCCD8E0"/>
      </bottom>
    </border>
    <border>
      <right style="thin">
        <color rgb="FF1C6485"/>
      </right>
      <top style="thin">
        <color rgb="FF1C6485"/>
      </top>
      <bottom style="thin">
        <color rgb="FFCCD8E0"/>
      </bottom>
    </border>
    <border>
      <left style="thin">
        <color rgb="FF1C6485"/>
      </left>
      <top style="thin">
        <color rgb="FFCCD8E0"/>
      </top>
      <bottom style="thin">
        <color rgb="FFCCD8E0"/>
      </bottom>
    </border>
    <border>
      <right style="thin">
        <color rgb="FFCCD8E0"/>
      </right>
      <top style="thin">
        <color rgb="FFCCD8E0"/>
      </top>
      <bottom style="thin">
        <color rgb="FFCCD8E0"/>
      </bottom>
    </border>
    <border>
      <left style="thin">
        <color rgb="FFCCD8E0"/>
      </left>
      <top style="thin">
        <color rgb="FFCCD8E0"/>
      </top>
      <bottom style="thin">
        <color rgb="FFCCD8E0"/>
      </bottom>
    </border>
    <border>
      <right style="thin">
        <color rgb="FF1C6485"/>
      </right>
      <top style="thin">
        <color rgb="FFCCD8E0"/>
      </top>
      <bottom style="thin">
        <color rgb="FFCCD8E0"/>
      </bottom>
    </border>
    <border>
      <left style="thin">
        <color rgb="FF1C6485"/>
      </left>
      <top style="thin">
        <color rgb="FFCCD8E0"/>
      </top>
      <bottom style="thin">
        <color rgb="FF1C6485"/>
      </bottom>
    </border>
    <border>
      <right style="thin">
        <color rgb="FFCCD8E0"/>
      </right>
      <top style="thin">
        <color rgb="FFCCD8E0"/>
      </top>
      <bottom style="thin">
        <color rgb="FF1C6485"/>
      </bottom>
    </border>
    <border>
      <left style="thin">
        <color rgb="FFCCD8E0"/>
      </left>
      <top style="thin">
        <color rgb="FFCCD8E0"/>
      </top>
      <bottom style="thin">
        <color rgb="FF1C6485"/>
      </bottom>
    </border>
    <border>
      <right style="thin">
        <color rgb="FF1C6485"/>
      </right>
      <top style="thin">
        <color rgb="FFCCD8E0"/>
      </top>
      <bottom style="thin">
        <color rgb="FF1C6485"/>
      </bottom>
    </border>
    <border>
      <left style="thin">
        <color rgb="FFCCD8E0"/>
      </left>
      <right style="thin">
        <color rgb="FFE0E8ED"/>
      </right>
      <top style="medium">
        <color rgb="FF1C6485"/>
      </top>
      <bottom style="thin">
        <color rgb="FFE0E8ED"/>
      </bottom>
    </border>
    <border>
      <left style="thin">
        <color rgb="FFE0E8ED"/>
      </left>
      <right style="thin">
        <color rgb="FFE0E8ED"/>
      </right>
      <top style="medium">
        <color rgb="FF1C6485"/>
      </top>
      <bottom style="thin">
        <color rgb="FFE0E8ED"/>
      </bottom>
    </border>
    <border>
      <left style="thin">
        <color rgb="FFE0E8ED"/>
      </left>
      <right style="thin">
        <color rgb="FFCCD8E0"/>
      </right>
      <top style="medium">
        <color rgb="FF1C6485"/>
      </top>
      <bottom style="thin">
        <color rgb="FFE0E8ED"/>
      </bottom>
    </border>
    <border>
      <left style="thin">
        <color rgb="FFCCD8E0"/>
      </left>
      <right style="thin">
        <color rgb="FFE0E8ED"/>
      </right>
      <top style="thin">
        <color rgb="FFE0E8ED"/>
      </top>
      <bottom style="thin">
        <color rgb="FFE0E8ED"/>
      </bottom>
    </border>
    <border>
      <left style="thin">
        <color rgb="FFE0E8ED"/>
      </left>
      <right style="thin">
        <color rgb="FFE0E8ED"/>
      </right>
      <top style="thin">
        <color rgb="FFE0E8ED"/>
      </top>
      <bottom style="thin">
        <color rgb="FFE0E8ED"/>
      </bottom>
    </border>
    <border>
      <left style="thin">
        <color rgb="FFE0E8ED"/>
      </left>
      <right style="thin">
        <color rgb="FFCCD8E0"/>
      </right>
      <top style="thin">
        <color rgb="FFE0E8ED"/>
      </top>
      <bottom style="thin">
        <color rgb="FFE0E8ED"/>
      </bottom>
    </border>
    <border>
      <left style="thin">
        <color rgb="FFCCD8E0"/>
      </left>
      <right style="thin">
        <color rgb="FFE0E8ED"/>
      </right>
      <top style="thin">
        <color rgb="FFE0E8ED"/>
      </top>
      <bottom style="medium">
        <color rgb="FF1C6485"/>
      </bottom>
    </border>
    <border>
      <left style="thin">
        <color rgb="FFE0E8ED"/>
      </left>
      <right style="thin">
        <color rgb="FFE0E8ED"/>
      </right>
      <top style="thin">
        <color rgb="FFE0E8ED"/>
      </top>
      <bottom style="medium">
        <color rgb="FF1C6485"/>
      </bottom>
    </border>
    <border>
      <left style="thin">
        <color rgb="FFE0E8ED"/>
      </left>
      <right style="thin">
        <color rgb="FFCCD8E0"/>
      </right>
      <top style="thin">
        <color rgb="FFE0E8ED"/>
      </top>
      <bottom style="medium">
        <color rgb="FF1C6485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4" fillId="4" fontId="4" numFmtId="0" xfId="0" applyAlignment="1" applyBorder="1" applyFill="1" applyFont="1">
      <alignment horizontal="center" readingOrder="0" vertical="center"/>
    </xf>
    <xf borderId="6" fillId="4" fontId="4" numFmtId="0" xfId="0" applyAlignment="1" applyBorder="1" applyFill="1" applyFont="1">
      <alignment horizontal="center" readingOrder="0" vertical="center"/>
    </xf>
    <xf borderId="8" fillId="5" fontId="5" numFmtId="164" xfId="0" applyAlignment="1" applyBorder="1" applyFill="1" applyFont="1" applyNumberFormat="1">
      <alignment horizontal="center" readingOrder="0" vertical="center"/>
    </xf>
    <xf borderId="9" fillId="0" fontId="2" numFmtId="0" xfId="0" applyBorder="1" applyFont="1"/>
    <xf borderId="10" fillId="5" fontId="5" numFmtId="165" xfId="0" applyAlignment="1" applyBorder="1" applyFill="1" applyFont="1" applyNumberFormat="1">
      <alignment horizontal="center" readingOrder="0" vertical="center"/>
    </xf>
    <xf borderId="10" fillId="5" fontId="5" numFmtId="166" xfId="0" applyAlignment="1" applyBorder="1" applyFill="1" applyFont="1" applyNumberFormat="1">
      <alignment horizontal="center" readingOrder="0" vertical="center"/>
    </xf>
    <xf borderId="10" fillId="5" fontId="5" numFmtId="167" xfId="0" applyAlignment="1" applyBorder="1" applyFill="1" applyFont="1" applyNumberFormat="1">
      <alignment horizontal="center" readingOrder="0" vertical="center"/>
    </xf>
    <xf borderId="11" fillId="0" fontId="2" numFmtId="0" xfId="0" applyBorder="1" applyFont="1"/>
    <xf borderId="12" fillId="2" fontId="6" numFmtId="0" xfId="0" applyAlignment="1" applyBorder="1" applyFill="1" applyFont="1">
      <alignment horizontal="center" readingOrder="0" shrinkToFit="0" vertical="center" wrapText="1"/>
    </xf>
    <xf borderId="13" fillId="2" fontId="6" numFmtId="0" xfId="0" applyAlignment="1" applyBorder="1" applyFill="1" applyFont="1">
      <alignment horizontal="center" readingOrder="0" shrinkToFit="0" vertical="center" wrapText="1"/>
    </xf>
    <xf borderId="14" fillId="2" fontId="6" numFmtId="0" xfId="0" applyAlignment="1" applyBorder="1" applyFill="1" applyFont="1">
      <alignment horizontal="center" readingOrder="0" shrinkToFit="0" vertical="center" wrapText="1"/>
    </xf>
    <xf borderId="15" fillId="5" fontId="7" numFmtId="168" xfId="0" applyAlignment="1" applyBorder="1" applyFill="1" applyFont="1" applyNumberFormat="1">
      <alignment horizontal="center" readingOrder="0" vertical="center"/>
    </xf>
    <xf borderId="16" fillId="5" fontId="7" numFmtId="164" xfId="0" applyAlignment="1" applyBorder="1" applyFill="1" applyFont="1" applyNumberFormat="1">
      <alignment horizontal="right" readingOrder="0" vertical="center"/>
    </xf>
    <xf borderId="16" fillId="5" fontId="7" numFmtId="165" xfId="0" applyAlignment="1" applyBorder="1" applyFill="1" applyFont="1" applyNumberFormat="1">
      <alignment horizontal="right" readingOrder="0" vertical="center"/>
    </xf>
    <xf borderId="16" fillId="5" fontId="7" numFmtId="2" xfId="0" applyAlignment="1" applyBorder="1" applyFill="1" applyFont="1" applyNumberFormat="1">
      <alignment horizontal="right" readingOrder="0" vertical="center"/>
    </xf>
    <xf borderId="16" fillId="5" fontId="7" numFmtId="166" xfId="0" applyAlignment="1" applyBorder="1" applyFill="1" applyFont="1" applyNumberFormat="1">
      <alignment horizontal="right" readingOrder="0" vertical="center"/>
    </xf>
    <xf borderId="16" fillId="5" fontId="7" numFmtId="167" xfId="0" applyAlignment="1" applyBorder="1" applyFill="1" applyFont="1" applyNumberFormat="1">
      <alignment horizontal="right" readingOrder="0" vertical="center"/>
    </xf>
    <xf borderId="16" fillId="5" fontId="7" numFmtId="0" xfId="0" applyAlignment="1" applyBorder="1" applyFill="1" applyFont="1">
      <alignment horizontal="center" readingOrder="0" vertical="center"/>
    </xf>
    <xf borderId="17" fillId="5" fontId="7" numFmtId="169" xfId="0" applyAlignment="1" applyBorder="1" applyFill="1" applyFont="1" applyNumberFormat="1">
      <alignment horizontal="right" readingOrder="0" vertical="center"/>
    </xf>
    <xf borderId="15" fillId="6" fontId="7" numFmtId="168" xfId="0" applyAlignment="1" applyBorder="1" applyFill="1" applyFont="1" applyNumberFormat="1">
      <alignment horizontal="center" readingOrder="0" vertical="center"/>
    </xf>
    <xf borderId="16" fillId="6" fontId="7" numFmtId="164" xfId="0" applyAlignment="1" applyBorder="1" applyFill="1" applyFont="1" applyNumberFormat="1">
      <alignment horizontal="right" readingOrder="0" vertical="center"/>
    </xf>
    <xf borderId="16" fillId="6" fontId="7" numFmtId="165" xfId="0" applyAlignment="1" applyBorder="1" applyFill="1" applyFont="1" applyNumberFormat="1">
      <alignment horizontal="right" readingOrder="0" vertical="center"/>
    </xf>
    <xf borderId="16" fillId="6" fontId="7" numFmtId="2" xfId="0" applyAlignment="1" applyBorder="1" applyFill="1" applyFont="1" applyNumberFormat="1">
      <alignment horizontal="right" readingOrder="0" vertical="center"/>
    </xf>
    <xf borderId="16" fillId="6" fontId="7" numFmtId="166" xfId="0" applyAlignment="1" applyBorder="1" applyFill="1" applyFont="1" applyNumberFormat="1">
      <alignment horizontal="right" readingOrder="0" vertical="center"/>
    </xf>
    <xf borderId="16" fillId="6" fontId="7" numFmtId="167" xfId="0" applyAlignment="1" applyBorder="1" applyFill="1" applyFont="1" applyNumberFormat="1">
      <alignment horizontal="right" readingOrder="0" vertical="center"/>
    </xf>
    <xf borderId="16" fillId="6" fontId="7" numFmtId="0" xfId="0" applyAlignment="1" applyBorder="1" applyFill="1" applyFont="1">
      <alignment horizontal="center" readingOrder="0" vertical="center"/>
    </xf>
    <xf borderId="17" fillId="6" fontId="7" numFmtId="169" xfId="0" applyAlignment="1" applyBorder="1" applyFill="1" applyFont="1" applyNumberFormat="1">
      <alignment horizontal="right" readingOrder="0" vertical="center"/>
    </xf>
    <xf borderId="18" fillId="6" fontId="7" numFmtId="168" xfId="0" applyAlignment="1" applyBorder="1" applyFill="1" applyFont="1" applyNumberFormat="1">
      <alignment horizontal="center" readingOrder="0" vertical="center"/>
    </xf>
    <xf borderId="19" fillId="6" fontId="7" numFmtId="164" xfId="0" applyAlignment="1" applyBorder="1" applyFill="1" applyFont="1" applyNumberFormat="1">
      <alignment horizontal="right" readingOrder="0" vertical="center"/>
    </xf>
    <xf borderId="19" fillId="6" fontId="7" numFmtId="165" xfId="0" applyAlignment="1" applyBorder="1" applyFill="1" applyFont="1" applyNumberFormat="1">
      <alignment horizontal="right" readingOrder="0" vertical="center"/>
    </xf>
    <xf borderId="19" fillId="6" fontId="7" numFmtId="2" xfId="0" applyAlignment="1" applyBorder="1" applyFill="1" applyFont="1" applyNumberFormat="1">
      <alignment horizontal="right" readingOrder="0" vertical="center"/>
    </xf>
    <xf borderId="19" fillId="6" fontId="7" numFmtId="166" xfId="0" applyAlignment="1" applyBorder="1" applyFill="1" applyFont="1" applyNumberFormat="1">
      <alignment horizontal="right" readingOrder="0" vertical="center"/>
    </xf>
    <xf borderId="19" fillId="6" fontId="7" numFmtId="167" xfId="0" applyAlignment="1" applyBorder="1" applyFill="1" applyFont="1" applyNumberFormat="1">
      <alignment horizontal="right" readingOrder="0" vertical="center"/>
    </xf>
    <xf borderId="19" fillId="6" fontId="7" numFmtId="0" xfId="0" applyAlignment="1" applyBorder="1" applyFill="1" applyFont="1">
      <alignment horizontal="center" readingOrder="0" vertical="center"/>
    </xf>
    <xf borderId="20" fillId="6" fontId="7" numFmtId="169" xfId="0" applyAlignment="1" applyBorder="1" applyFill="1" applyFont="1" applyNumberFormat="1">
      <alignment horizontal="right" readingOrder="0" vertical="center"/>
    </xf>
  </cellXfs>
  <cellStyles count="1">
    <cellStyle xfId="0" name="Normal" builtinId="0"/>
  </cellStyles>
  <dxfs count="2">
    <dxf>
      <font>
        <b/>
        <color rgb="FF147238"/>
      </font>
      <fill>
        <patternFill patternType="solid">
          <fgColor rgb="FFE0F4E5"/>
          <bgColor rgb="FFE0F4E5"/>
        </patternFill>
      </fill>
      <border/>
    </dxf>
    <dxf>
      <font>
        <b/>
        <color rgb="FFB25900"/>
      </font>
      <fill>
        <patternFill patternType="solid">
          <fgColor rgb="FFFFEDD1"/>
          <bgColor rgb="FFFFEDD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0.13"/>
    <col customWidth="1" min="3" max="3" width="15.75"/>
    <col customWidth="1" min="4" max="4" width="14.5"/>
    <col customWidth="1" min="5" max="5" width="16.38"/>
    <col customWidth="1" min="6" max="6" width="17.0"/>
    <col customWidth="1" min="7" max="7" width="15.13"/>
    <col customWidth="1" min="8" max="8" width="14.5"/>
    <col customWidth="1" min="9" max="9" width="15.13"/>
  </cols>
  <sheetData>
    <row r="2" ht="28.5" customHeight="1">
      <c r="B2" s="1" t="s">
        <v>0</v>
      </c>
      <c r="C2" s="2"/>
      <c r="D2" s="2"/>
      <c r="E2" s="2"/>
      <c r="F2" s="2"/>
      <c r="G2" s="2"/>
      <c r="H2" s="2"/>
      <c r="I2" s="3"/>
    </row>
    <row r="3" ht="19.5" customHeight="1">
      <c r="B3" s="4" t="s">
        <v>1</v>
      </c>
      <c r="C3" s="5"/>
      <c r="D3" s="6" t="s">
        <v>2</v>
      </c>
      <c r="E3" s="5"/>
      <c r="F3" s="6" t="s">
        <v>3</v>
      </c>
      <c r="G3" s="5"/>
      <c r="H3" s="6" t="s">
        <v>4</v>
      </c>
      <c r="I3" s="7"/>
    </row>
    <row r="4" ht="18.0" customHeight="1">
      <c r="B4" s="8" t="s">
        <v>5</v>
      </c>
      <c r="C4" s="5"/>
      <c r="D4" s="9" t="s">
        <v>6</v>
      </c>
      <c r="E4" s="5"/>
      <c r="F4" s="9" t="s">
        <v>7</v>
      </c>
      <c r="G4" s="5"/>
      <c r="H4" s="9" t="s">
        <v>8</v>
      </c>
      <c r="I4" s="7"/>
    </row>
    <row r="5" ht="25.5" customHeight="1">
      <c r="B5" s="10">
        <f>AVERAGE(C8:C15)</f>
        <v>120.95</v>
      </c>
      <c r="C5" s="11"/>
      <c r="D5" s="12">
        <f>AVERAGE(D8:D15)</f>
        <v>5.60875</v>
      </c>
      <c r="E5" s="11"/>
      <c r="F5" s="13">
        <f>AVERAGE(F8:F15)</f>
        <v>638.3857688</v>
      </c>
      <c r="G5" s="11"/>
      <c r="H5" s="14">
        <f>SUM(G8:G15)</f>
        <v>1.276</v>
      </c>
      <c r="I5" s="15"/>
    </row>
    <row r="6" ht="10.5" customHeight="1"/>
    <row r="7" ht="22.5" customHeight="1">
      <c r="B7" s="16" t="s">
        <v>9</v>
      </c>
      <c r="C7" s="17" t="s">
        <v>10</v>
      </c>
      <c r="D7" s="17" t="s">
        <v>11</v>
      </c>
      <c r="E7" s="17" t="s">
        <v>12</v>
      </c>
      <c r="F7" s="17" t="s">
        <v>13</v>
      </c>
      <c r="G7" s="17" t="s">
        <v>14</v>
      </c>
      <c r="H7" s="17" t="s">
        <v>15</v>
      </c>
      <c r="I7" s="18" t="s">
        <v>16</v>
      </c>
    </row>
    <row r="8" ht="18.0" customHeight="1">
      <c r="B8" s="19">
        <v>46297.875</v>
      </c>
      <c r="C8" s="20">
        <v>121.4</v>
      </c>
      <c r="D8" s="21">
        <v>4.82</v>
      </c>
      <c r="E8" s="22">
        <v>0.95</v>
      </c>
      <c r="F8" s="23">
        <f t="shared" ref="F8:F15" si="1">C8*D8*E8</f>
        <v>555.8906</v>
      </c>
      <c r="G8" s="24">
        <v>0.138</v>
      </c>
      <c r="H8" s="25" t="s">
        <v>17</v>
      </c>
      <c r="I8" s="26">
        <v>-62.0</v>
      </c>
    </row>
    <row r="9" ht="18.0" customHeight="1">
      <c r="B9" s="27">
        <v>46297.87847222222</v>
      </c>
      <c r="C9" s="28">
        <v>120.8</v>
      </c>
      <c r="D9" s="29">
        <v>5.15</v>
      </c>
      <c r="E9" s="30">
        <v>0.94</v>
      </c>
      <c r="F9" s="31">
        <f t="shared" si="1"/>
        <v>584.7928</v>
      </c>
      <c r="G9" s="32">
        <v>0.147</v>
      </c>
      <c r="H9" s="33" t="s">
        <v>17</v>
      </c>
      <c r="I9" s="34">
        <v>-63.0</v>
      </c>
    </row>
    <row r="10" ht="18.0" customHeight="1">
      <c r="B10" s="19">
        <v>46297.881944444445</v>
      </c>
      <c r="C10" s="20">
        <v>122.1</v>
      </c>
      <c r="D10" s="21">
        <v>8.4</v>
      </c>
      <c r="E10" s="22">
        <v>0.96</v>
      </c>
      <c r="F10" s="23">
        <f t="shared" si="1"/>
        <v>984.6144</v>
      </c>
      <c r="G10" s="24">
        <v>0.246</v>
      </c>
      <c r="H10" s="25" t="s">
        <v>18</v>
      </c>
      <c r="I10" s="26">
        <v>-65.0</v>
      </c>
    </row>
    <row r="11" ht="18.0" customHeight="1">
      <c r="B11" s="27">
        <v>46297.885416666664</v>
      </c>
      <c r="C11" s="28">
        <v>119.5</v>
      </c>
      <c r="D11" s="29">
        <v>7.95</v>
      </c>
      <c r="E11" s="30">
        <v>0.93</v>
      </c>
      <c r="F11" s="31">
        <f t="shared" si="1"/>
        <v>883.52325</v>
      </c>
      <c r="G11" s="32">
        <v>0.221</v>
      </c>
      <c r="H11" s="33" t="s">
        <v>17</v>
      </c>
      <c r="I11" s="34">
        <v>-61.0</v>
      </c>
    </row>
    <row r="12" ht="18.0" customHeight="1">
      <c r="B12" s="19">
        <v>46297.88888888889</v>
      </c>
      <c r="C12" s="20">
        <v>121.0</v>
      </c>
      <c r="D12" s="21">
        <v>3.2</v>
      </c>
      <c r="E12" s="22">
        <v>0.91</v>
      </c>
      <c r="F12" s="23">
        <f t="shared" si="1"/>
        <v>352.352</v>
      </c>
      <c r="G12" s="24">
        <v>0.088</v>
      </c>
      <c r="H12" s="25" t="s">
        <v>17</v>
      </c>
      <c r="I12" s="26">
        <v>-64.0</v>
      </c>
    </row>
    <row r="13" ht="18.0" customHeight="1">
      <c r="B13" s="27">
        <v>46297.89236111111</v>
      </c>
      <c r="C13" s="28">
        <v>120.2</v>
      </c>
      <c r="D13" s="29">
        <v>3.45</v>
      </c>
      <c r="E13" s="30">
        <v>0.92</v>
      </c>
      <c r="F13" s="31">
        <f t="shared" si="1"/>
        <v>381.5148</v>
      </c>
      <c r="G13" s="32">
        <v>0.095</v>
      </c>
      <c r="H13" s="33" t="s">
        <v>17</v>
      </c>
      <c r="I13" s="34">
        <v>-66.0</v>
      </c>
    </row>
    <row r="14" ht="18.0" customHeight="1">
      <c r="B14" s="19">
        <v>46297.895833333336</v>
      </c>
      <c r="C14" s="20">
        <v>121.7</v>
      </c>
      <c r="D14" s="21">
        <v>6.1</v>
      </c>
      <c r="E14" s="22">
        <v>0.95</v>
      </c>
      <c r="F14" s="23">
        <f t="shared" si="1"/>
        <v>705.2515</v>
      </c>
      <c r="G14" s="24">
        <v>0.176</v>
      </c>
      <c r="H14" s="25" t="s">
        <v>17</v>
      </c>
      <c r="I14" s="26">
        <v>-60.0</v>
      </c>
    </row>
    <row r="15" ht="18.0" customHeight="1">
      <c r="B15" s="35">
        <v>46297.899305555555</v>
      </c>
      <c r="C15" s="36">
        <v>120.9</v>
      </c>
      <c r="D15" s="37">
        <v>5.8</v>
      </c>
      <c r="E15" s="38">
        <v>0.94</v>
      </c>
      <c r="F15" s="39">
        <f t="shared" si="1"/>
        <v>659.1468</v>
      </c>
      <c r="G15" s="40">
        <v>0.165</v>
      </c>
      <c r="H15" s="41" t="s">
        <v>17</v>
      </c>
      <c r="I15" s="42">
        <v>-62.0</v>
      </c>
    </row>
  </sheetData>
  <mergeCells count="13">
    <mergeCell ref="F4:G4"/>
    <mergeCell ref="H4:I4"/>
    <mergeCell ref="B5:C5"/>
    <mergeCell ref="D5:E5"/>
    <mergeCell ref="F5:G5"/>
    <mergeCell ref="H5:I5"/>
    <mergeCell ref="B2:I2"/>
    <mergeCell ref="B3:C3"/>
    <mergeCell ref="D3:E3"/>
    <mergeCell ref="F3:G3"/>
    <mergeCell ref="H3:I3"/>
    <mergeCell ref="B4:C4"/>
    <mergeCell ref="D4:E4"/>
  </mergeCells>
  <conditionalFormatting sqref="H8:H15">
    <cfRule type="cellIs" dxfId="0" priority="1" stopIfTrue="1" operator="equal">
      <formula>"Normal"</formula>
    </cfRule>
  </conditionalFormatting>
  <conditionalFormatting sqref="H8:H15">
    <cfRule type="cellIs" dxfId="1" priority="2" stopIfTrue="1" operator="equal">
      <formula>"Pico de Carga"</formula>
    </cfRule>
  </conditionalFormatting>
  <drawing r:id="rId1"/>
</worksheet>
</file>