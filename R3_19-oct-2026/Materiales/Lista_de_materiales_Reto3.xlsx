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tho\Downloads\"/>
    </mc:Choice>
  </mc:AlternateContent>
  <xr:revisionPtr revIDLastSave="0" documentId="13_ncr:1_{E8BB8A36-C4B2-4680-9C9F-402FCB2AAD8D}" xr6:coauthVersionLast="47" xr6:coauthVersionMax="47" xr10:uidLastSave="{00000000-0000-0000-0000-000000000000}"/>
  <bookViews>
    <workbookView xWindow="-110" yWindow="-110" windowWidth="19420" windowHeight="12220" tabRatio="500" xr2:uid="{00000000-000D-0000-FFFF-FFFF00000000}"/>
  </bookViews>
  <sheets>
    <sheet name="Lista de material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8" i="1" l="1"/>
  <c r="G27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21" i="1" s="1"/>
  <c r="G31" i="1" l="1"/>
  <c r="G30" i="1"/>
  <c r="G24" i="1"/>
  <c r="G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6" authorId="0" shapeId="0" xr:uid="{00000000-0006-0000-0000-000001000000}">
      <text>
        <r>
          <rPr>
            <sz val="10"/>
            <rFont val="Arial"/>
            <family val="2"/>
          </rPr>
          <t>Total del pedido para esta línea: $35.000 COP ÷ 1 unidad(es).</t>
        </r>
      </text>
    </comment>
    <comment ref="F7" authorId="0" shapeId="0" xr:uid="{00000000-0006-0000-0000-000002000000}">
      <text>
        <r>
          <rPr>
            <sz val="10"/>
            <rFont val="Arial"/>
            <family val="2"/>
          </rPr>
          <t>Total del pedido para esta línea: $76.000 COP ÷ 2 unidad(es).</t>
        </r>
      </text>
    </comment>
    <comment ref="F8" authorId="0" shapeId="0" xr:uid="{00000000-0006-0000-0000-000003000000}">
      <text>
        <r>
          <rPr>
            <sz val="10"/>
            <rFont val="Arial"/>
            <family val="2"/>
          </rPr>
          <t>Total del pedido para esta línea: $17.000 COP ÷ 1 unidad(es).</t>
        </r>
      </text>
    </comment>
    <comment ref="F9" authorId="0" shapeId="0" xr:uid="{00000000-0006-0000-0000-000004000000}">
      <text>
        <r>
          <rPr>
            <sz val="10"/>
            <rFont val="Arial"/>
            <family val="2"/>
          </rPr>
          <t>Total del pedido para esta línea: $2.400 COP ÷ 2 unidad(es).</t>
        </r>
      </text>
    </comment>
    <comment ref="F10" authorId="0" shapeId="0" xr:uid="{00000000-0006-0000-0000-000005000000}">
      <text>
        <r>
          <rPr>
            <sz val="10"/>
            <rFont val="Arial"/>
            <family val="2"/>
          </rPr>
          <t>Total del pedido para esta línea: $400 COP ÷ 2 unidad(es).</t>
        </r>
      </text>
    </comment>
    <comment ref="F11" authorId="0" shapeId="0" xr:uid="{00000000-0006-0000-0000-000006000000}">
      <text>
        <r>
          <rPr>
            <sz val="10"/>
            <rFont val="Arial"/>
            <family val="2"/>
          </rPr>
          <t>Total del pedido para esta línea: $1.400 COP ÷ 2 unidad(es).</t>
        </r>
      </text>
    </comment>
    <comment ref="F12" authorId="0" shapeId="0" xr:uid="{00000000-0006-0000-0000-000007000000}">
      <text>
        <r>
          <rPr>
            <sz val="10"/>
            <rFont val="Arial"/>
            <family val="2"/>
          </rPr>
          <t>Total del pedido para esta línea: $4.800 COP ÷ 1 unidad(es).</t>
        </r>
      </text>
    </comment>
    <comment ref="F13" authorId="0" shapeId="0" xr:uid="{00000000-0006-0000-0000-000008000000}">
      <text>
        <r>
          <rPr>
            <sz val="10"/>
            <rFont val="Arial"/>
            <family val="2"/>
          </rPr>
          <t>Total del pedido para esta línea: $1.000 COP ÷ 2 unidad(es).</t>
        </r>
      </text>
    </comment>
    <comment ref="F14" authorId="0" shapeId="0" xr:uid="{00000000-0006-0000-0000-000009000000}">
      <text>
        <r>
          <rPr>
            <sz val="10"/>
            <rFont val="Arial"/>
            <family val="2"/>
          </rPr>
          <t>Total del pedido para esta línea: $2.000 COP ÷ 2 unidad(es).</t>
        </r>
      </text>
    </comment>
    <comment ref="F15" authorId="0" shapeId="0" xr:uid="{00000000-0006-0000-0000-00000A000000}">
      <text>
        <r>
          <rPr>
            <sz val="10"/>
            <rFont val="Arial"/>
            <family val="2"/>
          </rPr>
          <t>Total del pedido para esta línea: $9.000 COP ÷ 1 unidad(es).</t>
        </r>
      </text>
    </comment>
    <comment ref="F16" authorId="0" shapeId="0" xr:uid="{00000000-0006-0000-0000-00000B000000}">
      <text>
        <r>
          <rPr>
            <sz val="10"/>
            <rFont val="Arial"/>
            <family val="2"/>
          </rPr>
          <t>Total del pedido para esta línea: $9.000 COP ÷ 3 unidad(es).</t>
        </r>
      </text>
    </comment>
    <comment ref="F17" authorId="0" shapeId="0" xr:uid="{00000000-0006-0000-0000-00000C000000}">
      <text>
        <r>
          <rPr>
            <sz val="10"/>
            <rFont val="Arial"/>
            <family val="2"/>
          </rPr>
          <t>Total del pedido para esta línea: $9.000 COP ÷ 3 unidad(es).</t>
        </r>
      </text>
    </comment>
    <comment ref="F18" authorId="0" shapeId="0" xr:uid="{00000000-0006-0000-0000-00000D000000}">
      <text>
        <r>
          <rPr>
            <sz val="10"/>
            <rFont val="Arial"/>
            <family val="2"/>
          </rPr>
          <t>Total del pedido para esta línea: $5.000 COP ÷ 1 unidad(es).</t>
        </r>
      </text>
    </comment>
    <comment ref="G21" authorId="0" shapeId="0" xr:uid="{00000000-0006-0000-0000-00000E000000}">
      <text>
        <r>
          <rPr>
            <sz val="10"/>
            <rFont val="Arial"/>
            <family val="2"/>
          </rPr>
          <t>Coincide con el subtotal del pedido: $172.000.</t>
        </r>
      </text>
    </comment>
    <comment ref="G22" authorId="0" shapeId="0" xr:uid="{00000000-0006-0000-0000-00000F000000}">
      <text>
        <r>
          <rPr>
            <sz val="10"/>
            <rFont val="Arial"/>
            <family val="2"/>
          </rPr>
          <t>Valor del envío según el resumen del pedido.</t>
        </r>
      </text>
    </comment>
    <comment ref="G24" authorId="0" shapeId="0" xr:uid="{00000000-0006-0000-0000-000010000000}">
      <text>
        <r>
          <rPr>
            <sz val="10"/>
            <rFont val="Arial"/>
            <family val="2"/>
          </rPr>
          <t>El pedido reporta $27.462,18.</t>
        </r>
      </text>
    </comment>
    <comment ref="G29" authorId="0" shapeId="0" xr:uid="{00000000-0006-0000-0000-000011000000}">
      <text>
        <r>
          <rPr>
            <sz val="10"/>
            <rFont val="Arial"/>
            <family val="2"/>
          </rPr>
          <t>Restricción R del plan de retos: costo del nodo ≤ COP 150 000.</t>
        </r>
      </text>
    </comment>
  </commentList>
</comments>
</file>

<file path=xl/sharedStrings.xml><?xml version="1.0" encoding="utf-8"?>
<sst xmlns="http://schemas.openxmlformats.org/spreadsheetml/2006/main" count="76" uniqueCount="53">
  <si>
    <t>Lista de materiales · Nodo de medición eléctrica residencial</t>
  </si>
  <si>
    <t>Proyecto Culminante de Diseño 2026-II · Equipo 2 · Reto 3 · Compra realizada en Ferretrónica (ferretronica.com)</t>
  </si>
  <si>
    <t>Precios en COP con IVA incluido, tomados del resumen del pedido. Celdas en azul: datos de entrada; celdas en negro: fórmulas.</t>
  </si>
  <si>
    <t>#</t>
  </si>
  <si>
    <t>Componente (nombre en la tienda)</t>
  </si>
  <si>
    <t>Función en el nodo</t>
  </si>
  <si>
    <t>Categoría</t>
  </si>
  <si>
    <t>Cantidad</t>
  </si>
  <si>
    <t>Precio unitario (COP)</t>
  </si>
  <si>
    <t>Total (COP)</t>
  </si>
  <si>
    <t>Proveedor</t>
  </si>
  <si>
    <t>Módulo WiFi + Bluetooth ESP32</t>
  </si>
  <si>
    <t>Adquisición, procesamiento y envío por Wi-Fi</t>
  </si>
  <si>
    <t>Componente del nodo</t>
  </si>
  <si>
    <t>Ferretrónica</t>
  </si>
  <si>
    <t>Sensor Corriente AC No Invasivo 100A / 1V SCT-013-100</t>
  </si>
  <si>
    <t>Medición de corriente, uno por línea (L1 y L2)</t>
  </si>
  <si>
    <t>Modulo Sensor de Voltaje Alterno AC ZMPT101B Monofasico</t>
  </si>
  <si>
    <t>Medición de tensión entre líneas</t>
  </si>
  <si>
    <t>LM358 Amplificador Operacional Propósito General DIP8</t>
  </si>
  <si>
    <t>Seguidores de la etapa de acondicionamiento</t>
  </si>
  <si>
    <t>Base para Circuito Integrado 8 Pines DIP8</t>
  </si>
  <si>
    <t>Montaje del LM358 sin soldarlo directamente</t>
  </si>
  <si>
    <t>Bornera de 2 Pines Azul con Tornillos - Terminal Block</t>
  </si>
  <si>
    <t>Conexión de entradas en la placa</t>
  </si>
  <si>
    <t>Cable Caiman a Caiman Color Rojo Negro 1 metro Longitud</t>
  </si>
  <si>
    <t>Conexión del ZMPT101B a L1 y L2</t>
  </si>
  <si>
    <t>Regleta de Pines Header Macho - Macho 1x40 2.54mm</t>
  </si>
  <si>
    <t>Conectores de la placa</t>
  </si>
  <si>
    <t>Regleta de Pines Header Macho - Hembra 1x40 2.54mm</t>
  </si>
  <si>
    <t>Zócalo para el ESP32 y módulos</t>
  </si>
  <si>
    <t>Baquela PCB 20 cm x 20 cm Capa Sencilla</t>
  </si>
  <si>
    <t>Fabricación de la placa del circuito</t>
  </si>
  <si>
    <t>Insumo de fabricación</t>
  </si>
  <si>
    <t>Cloruro Férrico</t>
  </si>
  <si>
    <t>Grabado de la placa</t>
  </si>
  <si>
    <t>Soldadura de Estaño Tech / Metro</t>
  </si>
  <si>
    <t>Soldadura de componentes</t>
  </si>
  <si>
    <t>Cables Jumper Arduino Dupont x 20 Macho - Hembra 20 cm</t>
  </si>
  <si>
    <t>Pruebas y conexiones provisionales</t>
  </si>
  <si>
    <t>Resumen del pedido</t>
  </si>
  <si>
    <t>Subtotal productos (IVA incluido)</t>
  </si>
  <si>
    <t>Envío (1 a 3 días hábiles)</t>
  </si>
  <si>
    <t>Total pagado</t>
  </si>
  <si>
    <t>IVA 19 % incluido en los productos</t>
  </si>
  <si>
    <t>Costo frente a la meta del proyecto</t>
  </si>
  <si>
    <t>Componentes del nodo</t>
  </si>
  <si>
    <t>Insumos de fabricación</t>
  </si>
  <si>
    <t>Meta: costo del nodo ≤ COP 150.000</t>
  </si>
  <si>
    <t>¿Cumple la meta (componentes del nodo)?</t>
  </si>
  <si>
    <t>Margen frente a la meta</t>
  </si>
  <si>
    <t>Notas</t>
  </si>
  <si>
    <t>En la carpeta de GitHub, en la sección de los materiales se adjunta capturas de evidencias de la compra del carrito en la pagina ferretronica.com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</si>
</sst>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12" x14ac:knownFonts="1">
    <font>
      <sz val="11"/>
      <color theme="1"/>
      <name val="Calibri"/>
      <family val="2"/>
      <charset val="1"/>
    </font>
    <font>
      <b/>
      <sz val="14"/>
      <color rgb="FF3A3A3A"/>
      <name val="Arial"/>
      <charset val="1"/>
    </font>
    <font>
      <sz val="9"/>
      <color rgb="FF717171"/>
      <name val="Arial"/>
      <charset val="1"/>
    </font>
    <font>
      <i/>
      <sz val="8"/>
      <color rgb="FF717171"/>
      <name val="Arial"/>
      <charset val="1"/>
    </font>
    <font>
      <b/>
      <sz val="9"/>
      <color rgb="FFEE741C"/>
      <name val="Arial"/>
      <charset val="1"/>
    </font>
    <font>
      <sz val="9"/>
      <color rgb="FF3A3A3A"/>
      <name val="Arial"/>
      <charset val="1"/>
    </font>
    <font>
      <b/>
      <sz val="9"/>
      <color rgb="FF3A3A3A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b/>
      <sz val="10"/>
      <color rgb="FFEE741C"/>
      <name val="Arial"/>
      <charset val="1"/>
    </font>
    <font>
      <b/>
      <sz val="9"/>
      <color rgb="FF000000"/>
      <name val="Arial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3E9"/>
        <bgColor rgb="FFFFFF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5E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6" fillId="0" borderId="1" xfId="0" applyFont="1" applyBorder="1"/>
    <xf numFmtId="0" fontId="5" fillId="0" borderId="1" xfId="0" applyFon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164" fontId="7" fillId="0" borderId="1" xfId="0" applyNumberFormat="1" applyFont="1" applyBorder="1" applyAlignment="1">
      <alignment vertical="top" wrapText="1"/>
    </xf>
    <xf numFmtId="164" fontId="8" fillId="0" borderId="1" xfId="0" applyNumberFormat="1" applyFont="1" applyBorder="1" applyAlignment="1">
      <alignment vertical="top" wrapText="1"/>
    </xf>
    <xf numFmtId="0" fontId="9" fillId="0" borderId="0" xfId="0" applyFont="1"/>
    <xf numFmtId="164" fontId="8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165" fontId="8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3E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17171"/>
      <rgbColor rgb="FF9999FF"/>
      <rgbColor rgb="FF993366"/>
      <rgbColor rgb="FFFFFFCC"/>
      <rgbColor rgb="FFCCFFFF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E741C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showGridLines="0" tabSelected="1" zoomScaleNormal="100" workbookViewId="0">
      <pane ySplit="5" topLeftCell="A6" activePane="bottomLeft" state="frozen"/>
      <selection pane="bottomLeft" activeCell="A35" sqref="A35:H35"/>
    </sheetView>
  </sheetViews>
  <sheetFormatPr baseColWidth="10" defaultColWidth="8.6328125" defaultRowHeight="14.5" x14ac:dyDescent="0.35"/>
  <cols>
    <col min="1" max="1" width="4" customWidth="1"/>
    <col min="2" max="2" width="44" customWidth="1"/>
    <col min="3" max="3" width="40" customWidth="1"/>
    <col min="4" max="4" width="20" customWidth="1"/>
    <col min="5" max="5" width="10" customWidth="1"/>
    <col min="6" max="6" width="16" customWidth="1"/>
    <col min="7" max="8" width="14" customWidth="1"/>
  </cols>
  <sheetData>
    <row r="1" spans="1:8" ht="18" x14ac:dyDescent="0.4">
      <c r="A1" s="5" t="s">
        <v>0</v>
      </c>
    </row>
    <row r="2" spans="1:8" x14ac:dyDescent="0.35">
      <c r="A2" s="6" t="s">
        <v>1</v>
      </c>
    </row>
    <row r="3" spans="1:8" x14ac:dyDescent="0.35">
      <c r="A3" s="7" t="s">
        <v>2</v>
      </c>
    </row>
    <row r="5" spans="1:8" ht="30" customHeight="1" x14ac:dyDescent="0.3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spans="1:8" x14ac:dyDescent="0.35">
      <c r="A6" s="9">
        <v>1</v>
      </c>
      <c r="B6" s="10" t="s">
        <v>11</v>
      </c>
      <c r="C6" s="11" t="s">
        <v>12</v>
      </c>
      <c r="D6" s="9" t="s">
        <v>13</v>
      </c>
      <c r="E6" s="12">
        <v>1</v>
      </c>
      <c r="F6" s="13">
        <v>35000</v>
      </c>
      <c r="G6" s="14">
        <f t="shared" ref="G6:G18" si="0">E6*F6</f>
        <v>35000</v>
      </c>
      <c r="H6" s="9" t="s">
        <v>14</v>
      </c>
    </row>
    <row r="7" spans="1:8" ht="23" x14ac:dyDescent="0.35">
      <c r="A7" s="9">
        <v>2</v>
      </c>
      <c r="B7" s="10" t="s">
        <v>15</v>
      </c>
      <c r="C7" s="11" t="s">
        <v>16</v>
      </c>
      <c r="D7" s="9" t="s">
        <v>13</v>
      </c>
      <c r="E7" s="12">
        <v>2</v>
      </c>
      <c r="F7" s="13">
        <v>38000</v>
      </c>
      <c r="G7" s="14">
        <f t="shared" si="0"/>
        <v>76000</v>
      </c>
      <c r="H7" s="9" t="s">
        <v>14</v>
      </c>
    </row>
    <row r="8" spans="1:8" ht="23" x14ac:dyDescent="0.35">
      <c r="A8" s="9">
        <v>3</v>
      </c>
      <c r="B8" s="10" t="s">
        <v>17</v>
      </c>
      <c r="C8" s="11" t="s">
        <v>18</v>
      </c>
      <c r="D8" s="9" t="s">
        <v>13</v>
      </c>
      <c r="E8" s="12">
        <v>1</v>
      </c>
      <c r="F8" s="13">
        <v>17000</v>
      </c>
      <c r="G8" s="14">
        <f t="shared" si="0"/>
        <v>17000</v>
      </c>
      <c r="H8" s="9" t="s">
        <v>14</v>
      </c>
    </row>
    <row r="9" spans="1:8" ht="23" x14ac:dyDescent="0.35">
      <c r="A9" s="9">
        <v>4</v>
      </c>
      <c r="B9" s="10" t="s">
        <v>19</v>
      </c>
      <c r="C9" s="11" t="s">
        <v>20</v>
      </c>
      <c r="D9" s="9" t="s">
        <v>13</v>
      </c>
      <c r="E9" s="12">
        <v>2</v>
      </c>
      <c r="F9" s="13">
        <v>1200</v>
      </c>
      <c r="G9" s="14">
        <f t="shared" si="0"/>
        <v>2400</v>
      </c>
      <c r="H9" s="9" t="s">
        <v>14</v>
      </c>
    </row>
    <row r="10" spans="1:8" x14ac:dyDescent="0.35">
      <c r="A10" s="9">
        <v>5</v>
      </c>
      <c r="B10" s="10" t="s">
        <v>21</v>
      </c>
      <c r="C10" s="11" t="s">
        <v>22</v>
      </c>
      <c r="D10" s="9" t="s">
        <v>13</v>
      </c>
      <c r="E10" s="12">
        <v>2</v>
      </c>
      <c r="F10" s="13">
        <v>200</v>
      </c>
      <c r="G10" s="14">
        <f t="shared" si="0"/>
        <v>400</v>
      </c>
      <c r="H10" s="9" t="s">
        <v>14</v>
      </c>
    </row>
    <row r="11" spans="1:8" ht="23" x14ac:dyDescent="0.35">
      <c r="A11" s="9">
        <v>6</v>
      </c>
      <c r="B11" s="10" t="s">
        <v>23</v>
      </c>
      <c r="C11" s="11" t="s">
        <v>24</v>
      </c>
      <c r="D11" s="9" t="s">
        <v>13</v>
      </c>
      <c r="E11" s="12">
        <v>2</v>
      </c>
      <c r="F11" s="13">
        <v>700</v>
      </c>
      <c r="G11" s="14">
        <f t="shared" si="0"/>
        <v>1400</v>
      </c>
      <c r="H11" s="9" t="s">
        <v>14</v>
      </c>
    </row>
    <row r="12" spans="1:8" ht="23" x14ac:dyDescent="0.35">
      <c r="A12" s="9">
        <v>7</v>
      </c>
      <c r="B12" s="10" t="s">
        <v>25</v>
      </c>
      <c r="C12" s="11" t="s">
        <v>26</v>
      </c>
      <c r="D12" s="9" t="s">
        <v>13</v>
      </c>
      <c r="E12" s="12">
        <v>1</v>
      </c>
      <c r="F12" s="13">
        <v>4800</v>
      </c>
      <c r="G12" s="14">
        <f t="shared" si="0"/>
        <v>4800</v>
      </c>
      <c r="H12" s="9" t="s">
        <v>14</v>
      </c>
    </row>
    <row r="13" spans="1:8" ht="23" x14ac:dyDescent="0.35">
      <c r="A13" s="9">
        <v>8</v>
      </c>
      <c r="B13" s="10" t="s">
        <v>27</v>
      </c>
      <c r="C13" s="11" t="s">
        <v>28</v>
      </c>
      <c r="D13" s="9" t="s">
        <v>13</v>
      </c>
      <c r="E13" s="12">
        <v>2</v>
      </c>
      <c r="F13" s="13">
        <v>500</v>
      </c>
      <c r="G13" s="14">
        <f t="shared" si="0"/>
        <v>1000</v>
      </c>
      <c r="H13" s="9" t="s">
        <v>14</v>
      </c>
    </row>
    <row r="14" spans="1:8" ht="23" x14ac:dyDescent="0.35">
      <c r="A14" s="9">
        <v>9</v>
      </c>
      <c r="B14" s="10" t="s">
        <v>29</v>
      </c>
      <c r="C14" s="11" t="s">
        <v>30</v>
      </c>
      <c r="D14" s="9" t="s">
        <v>13</v>
      </c>
      <c r="E14" s="12">
        <v>2</v>
      </c>
      <c r="F14" s="13">
        <v>1000</v>
      </c>
      <c r="G14" s="14">
        <f t="shared" si="0"/>
        <v>2000</v>
      </c>
      <c r="H14" s="9" t="s">
        <v>14</v>
      </c>
    </row>
    <row r="15" spans="1:8" x14ac:dyDescent="0.35">
      <c r="A15" s="9">
        <v>10</v>
      </c>
      <c r="B15" s="10" t="s">
        <v>31</v>
      </c>
      <c r="C15" s="11" t="s">
        <v>32</v>
      </c>
      <c r="D15" s="9" t="s">
        <v>33</v>
      </c>
      <c r="E15" s="12">
        <v>1</v>
      </c>
      <c r="F15" s="13">
        <v>9000</v>
      </c>
      <c r="G15" s="14">
        <f t="shared" si="0"/>
        <v>9000</v>
      </c>
      <c r="H15" s="9" t="s">
        <v>14</v>
      </c>
    </row>
    <row r="16" spans="1:8" x14ac:dyDescent="0.35">
      <c r="A16" s="9">
        <v>11</v>
      </c>
      <c r="B16" s="10" t="s">
        <v>34</v>
      </c>
      <c r="C16" s="11" t="s">
        <v>35</v>
      </c>
      <c r="D16" s="9" t="s">
        <v>33</v>
      </c>
      <c r="E16" s="12">
        <v>3</v>
      </c>
      <c r="F16" s="13">
        <v>3000</v>
      </c>
      <c r="G16" s="14">
        <f t="shared" si="0"/>
        <v>9000</v>
      </c>
      <c r="H16" s="9" t="s">
        <v>14</v>
      </c>
    </row>
    <row r="17" spans="1:8" x14ac:dyDescent="0.35">
      <c r="A17" s="9">
        <v>12</v>
      </c>
      <c r="B17" s="10" t="s">
        <v>36</v>
      </c>
      <c r="C17" s="11" t="s">
        <v>37</v>
      </c>
      <c r="D17" s="9" t="s">
        <v>33</v>
      </c>
      <c r="E17" s="12">
        <v>3</v>
      </c>
      <c r="F17" s="13">
        <v>3000</v>
      </c>
      <c r="G17" s="14">
        <f t="shared" si="0"/>
        <v>9000</v>
      </c>
      <c r="H17" s="9" t="s">
        <v>14</v>
      </c>
    </row>
    <row r="18" spans="1:8" ht="23" x14ac:dyDescent="0.35">
      <c r="A18" s="9">
        <v>13</v>
      </c>
      <c r="B18" s="10" t="s">
        <v>38</v>
      </c>
      <c r="C18" s="11" t="s">
        <v>39</v>
      </c>
      <c r="D18" s="9" t="s">
        <v>33</v>
      </c>
      <c r="E18" s="12">
        <v>1</v>
      </c>
      <c r="F18" s="13">
        <v>5000</v>
      </c>
      <c r="G18" s="14">
        <f t="shared" si="0"/>
        <v>5000</v>
      </c>
      <c r="H18" s="9" t="s">
        <v>14</v>
      </c>
    </row>
    <row r="20" spans="1:8" x14ac:dyDescent="0.35">
      <c r="D20" s="15" t="s">
        <v>40</v>
      </c>
    </row>
    <row r="21" spans="1:8" x14ac:dyDescent="0.35">
      <c r="D21" s="4" t="s">
        <v>41</v>
      </c>
      <c r="E21" s="4"/>
      <c r="F21" s="4"/>
      <c r="G21" s="16">
        <f>SUM(G6:G18)</f>
        <v>172000</v>
      </c>
    </row>
    <row r="22" spans="1:8" x14ac:dyDescent="0.35">
      <c r="D22" s="4" t="s">
        <v>42</v>
      </c>
      <c r="E22" s="4"/>
      <c r="F22" s="4"/>
      <c r="G22" s="17">
        <v>19500</v>
      </c>
    </row>
    <row r="23" spans="1:8" x14ac:dyDescent="0.35">
      <c r="D23" s="3" t="s">
        <v>43</v>
      </c>
      <c r="E23" s="3"/>
      <c r="F23" s="3"/>
      <c r="G23" s="18">
        <f>G21+G22</f>
        <v>191500</v>
      </c>
    </row>
    <row r="24" spans="1:8" x14ac:dyDescent="0.35">
      <c r="D24" s="4" t="s">
        <v>44</v>
      </c>
      <c r="E24" s="4"/>
      <c r="F24" s="4"/>
      <c r="G24" s="19">
        <f>G21-G21/1.19</f>
        <v>27462.184873949562</v>
      </c>
    </row>
    <row r="26" spans="1:8" x14ac:dyDescent="0.35">
      <c r="D26" s="15" t="s">
        <v>45</v>
      </c>
    </row>
    <row r="27" spans="1:8" x14ac:dyDescent="0.35">
      <c r="D27" s="4" t="s">
        <v>46</v>
      </c>
      <c r="E27" s="4"/>
      <c r="F27" s="4"/>
      <c r="G27" s="16">
        <f>SUMIF(D6:D18,"Componente del nodo",G6:G18)</f>
        <v>140000</v>
      </c>
    </row>
    <row r="28" spans="1:8" x14ac:dyDescent="0.35">
      <c r="D28" s="4" t="s">
        <v>47</v>
      </c>
      <c r="E28" s="4"/>
      <c r="F28" s="4"/>
      <c r="G28" s="16">
        <f>SUMIF(D6:D18,"Insumo de fabricación",G6:G18)</f>
        <v>32000</v>
      </c>
    </row>
    <row r="29" spans="1:8" x14ac:dyDescent="0.35">
      <c r="D29" s="4" t="s">
        <v>48</v>
      </c>
      <c r="E29" s="4"/>
      <c r="F29" s="4"/>
      <c r="G29" s="17">
        <v>150000</v>
      </c>
    </row>
    <row r="30" spans="1:8" x14ac:dyDescent="0.35">
      <c r="D30" s="3" t="s">
        <v>49</v>
      </c>
      <c r="E30" s="3"/>
      <c r="F30" s="3"/>
      <c r="G30" s="20" t="str">
        <f>IF(G27&lt;=G29,"Sí","No")</f>
        <v>Sí</v>
      </c>
    </row>
    <row r="31" spans="1:8" x14ac:dyDescent="0.35">
      <c r="D31" s="4" t="s">
        <v>50</v>
      </c>
      <c r="E31" s="4"/>
      <c r="F31" s="4"/>
      <c r="G31" s="16">
        <f>G29-G27</f>
        <v>10000</v>
      </c>
    </row>
    <row r="33" spans="1:8" ht="15" customHeight="1" x14ac:dyDescent="0.35">
      <c r="A33" s="2" t="s">
        <v>51</v>
      </c>
      <c r="B33" s="2"/>
      <c r="C33" s="2"/>
      <c r="D33" s="2"/>
      <c r="E33" s="2"/>
      <c r="F33" s="2"/>
      <c r="G33" s="2"/>
      <c r="H33" s="2"/>
    </row>
    <row r="34" spans="1:8" ht="25.5" customHeight="1" x14ac:dyDescent="0.35">
      <c r="A34" s="1" t="s">
        <v>52</v>
      </c>
      <c r="B34" s="1"/>
      <c r="C34" s="1"/>
      <c r="D34" s="1"/>
      <c r="E34" s="1"/>
      <c r="F34" s="1"/>
      <c r="G34" s="1"/>
      <c r="H34" s="1"/>
    </row>
    <row r="35" spans="1:8" ht="25.5" customHeight="1" x14ac:dyDescent="0.35">
      <c r="A35" s="1"/>
      <c r="B35" s="1"/>
      <c r="C35" s="1"/>
      <c r="D35" s="1"/>
      <c r="E35" s="1"/>
      <c r="F35" s="1"/>
      <c r="G35" s="1"/>
      <c r="H35" s="1"/>
    </row>
    <row r="36" spans="1:8" ht="25.5" customHeight="1" x14ac:dyDescent="0.35">
      <c r="A36" s="1"/>
      <c r="B36" s="1"/>
      <c r="C36" s="1"/>
      <c r="D36" s="1"/>
      <c r="E36" s="1"/>
      <c r="F36" s="1"/>
      <c r="G36" s="1"/>
      <c r="H36" s="1"/>
    </row>
  </sheetData>
  <mergeCells count="13">
    <mergeCell ref="A34:H34"/>
    <mergeCell ref="A35:H35"/>
    <mergeCell ref="A36:H36"/>
    <mergeCell ref="D28:F28"/>
    <mergeCell ref="D29:F29"/>
    <mergeCell ref="D30:F30"/>
    <mergeCell ref="D31:F31"/>
    <mergeCell ref="A33:H33"/>
    <mergeCell ref="D21:F21"/>
    <mergeCell ref="D22:F22"/>
    <mergeCell ref="D23:F23"/>
    <mergeCell ref="D24:F24"/>
    <mergeCell ref="D27:F27"/>
  </mergeCells>
  <pageMargins left="0.75" right="0.75" top="1" bottom="1" header="0.511811023622047" footer="0.511811023622047"/>
  <pageSetup fitToHeight="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materiales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ANTHONY JOSE IGUARAN FANDINO</cp:lastModifiedBy>
  <cp:revision>0</cp:revision>
  <dcterms:created xsi:type="dcterms:W3CDTF">2026-10-20T03:15:04Z</dcterms:created>
  <dcterms:modified xsi:type="dcterms:W3CDTF">2026-10-20T03:18:29Z</dcterms:modified>
  <dc:language>en-US</dc:language>
</cp:coreProperties>
</file>